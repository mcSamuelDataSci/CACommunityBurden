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CBD\myAnalyses\0.StateOfHealth\"/>
    </mc:Choice>
  </mc:AlternateContent>
  <bookViews>
    <workbookView xWindow="480" yWindow="105" windowWidth="27795" windowHeight="12600"/>
  </bookViews>
  <sheets>
    <sheet name="raceAgetemp" sheetId="1" r:id="rId1"/>
  </sheets>
  <calcPr calcId="162913"/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K9" i="1"/>
  <c r="K10" i="1"/>
  <c r="K11" i="1"/>
  <c r="K12" i="1"/>
  <c r="K14" i="1"/>
  <c r="K16" i="1"/>
  <c r="K17" i="1"/>
  <c r="K18" i="1"/>
  <c r="K19" i="1"/>
  <c r="K15" i="1"/>
  <c r="K20" i="1"/>
  <c r="K21" i="1"/>
  <c r="K22" i="1"/>
  <c r="K23" i="1"/>
  <c r="K3" i="1"/>
  <c r="I5" i="1"/>
  <c r="I6" i="1"/>
  <c r="I7" i="1"/>
  <c r="I8" i="1"/>
  <c r="I4" i="1"/>
  <c r="I9" i="1"/>
  <c r="I10" i="1"/>
  <c r="I11" i="1"/>
  <c r="I12" i="1"/>
  <c r="I14" i="1"/>
  <c r="I16" i="1"/>
  <c r="I17" i="1"/>
  <c r="I18" i="1"/>
  <c r="I19" i="1"/>
  <c r="I15" i="1"/>
  <c r="I20" i="1"/>
  <c r="I21" i="1"/>
  <c r="I22" i="1"/>
  <c r="I23" i="1"/>
  <c r="I3" i="1"/>
</calcChain>
</file>

<file path=xl/sharedStrings.xml><?xml version="1.0" encoding="utf-8"?>
<sst xmlns="http://schemas.openxmlformats.org/spreadsheetml/2006/main" count="51" uniqueCount="23">
  <si>
    <t>sex</t>
  </si>
  <si>
    <t>Asian-NH</t>
  </si>
  <si>
    <t>Hisp</t>
  </si>
  <si>
    <t>NHPI-NH</t>
  </si>
  <si>
    <t>Male</t>
  </si>
  <si>
    <t xml:space="preserve"> 0 - 4</t>
  </si>
  <si>
    <t>15 - 24</t>
  </si>
  <si>
    <t>25 - 34</t>
  </si>
  <si>
    <t>35 - 44</t>
  </si>
  <si>
    <t>45 - 54</t>
  </si>
  <si>
    <t xml:space="preserve"> 5 - 14</t>
  </si>
  <si>
    <t>55 - 64</t>
  </si>
  <si>
    <t>65 - 74</t>
  </si>
  <si>
    <t>75 - 84</t>
  </si>
  <si>
    <t>85+</t>
  </si>
  <si>
    <t>Female</t>
  </si>
  <si>
    <t xml:space="preserve"> </t>
  </si>
  <si>
    <t>Age Group</t>
  </si>
  <si>
    <t>Black</t>
  </si>
  <si>
    <t>White</t>
  </si>
  <si>
    <t>Black:White Rate Ratio</t>
  </si>
  <si>
    <t>percent Black to White difference</t>
  </si>
  <si>
    <t>Black and White All-Cause Age-Specific Death Rates, and Rate Ratios, California 2016-2018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</si>
</sst>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9" fontId="18" fillId="0" borderId="0" xfId="1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GridLines="0" tabSelected="1" workbookViewId="0">
      <selection sqref="A1:XFD1"/>
    </sheetView>
  </sheetViews>
  <sheetFormatPr defaultRowHeight="15" x14ac:dyDescent="0.25"/>
  <cols>
    <col min="2" max="2" width="13.42578125" customWidth="1"/>
    <col min="3" max="3" width="0" style="1" hidden="1" customWidth="1"/>
    <col min="4" max="4" width="9.140625" style="1"/>
    <col min="5" max="6" width="0" style="1" hidden="1" customWidth="1"/>
    <col min="7" max="7" width="9.140625" style="1"/>
    <col min="9" max="9" width="13.28515625" style="1" customWidth="1"/>
    <col min="11" max="11" width="13.5703125" hidden="1" customWidth="1"/>
  </cols>
  <sheetData>
    <row r="1" spans="1:11" ht="21" x14ac:dyDescent="0.35">
      <c r="A1" s="3" t="s">
        <v>22</v>
      </c>
    </row>
    <row r="2" spans="1:11" ht="63" x14ac:dyDescent="0.25">
      <c r="A2" s="6" t="s">
        <v>0</v>
      </c>
      <c r="B2" s="7" t="s">
        <v>17</v>
      </c>
      <c r="C2" s="8" t="s">
        <v>1</v>
      </c>
      <c r="D2" s="8" t="s">
        <v>18</v>
      </c>
      <c r="E2" s="8" t="s">
        <v>2</v>
      </c>
      <c r="F2" s="8" t="s">
        <v>3</v>
      </c>
      <c r="G2" s="8" t="s">
        <v>19</v>
      </c>
      <c r="H2" s="7"/>
      <c r="I2" s="9" t="s">
        <v>20</v>
      </c>
      <c r="J2" s="7"/>
      <c r="K2" s="9" t="s">
        <v>21</v>
      </c>
    </row>
    <row r="3" spans="1:11" ht="15.75" x14ac:dyDescent="0.25">
      <c r="A3" s="2" t="s">
        <v>4</v>
      </c>
      <c r="B3" s="2" t="s">
        <v>5</v>
      </c>
      <c r="C3" s="4">
        <v>77.809756892523595</v>
      </c>
      <c r="D3" s="4">
        <v>205.23430257500701</v>
      </c>
      <c r="E3" s="4">
        <v>102.06226862217299</v>
      </c>
      <c r="F3" s="4">
        <v>125.556338079893</v>
      </c>
      <c r="G3" s="4">
        <v>84.249139636812103</v>
      </c>
      <c r="H3" s="2"/>
      <c r="I3" s="4">
        <f>D3/G3</f>
        <v>2.4360403377381346</v>
      </c>
      <c r="J3" s="2"/>
      <c r="K3" s="5">
        <f>(D3-G3)/G3</f>
        <v>1.4360403377381346</v>
      </c>
    </row>
    <row r="4" spans="1:11" ht="15.75" x14ac:dyDescent="0.25">
      <c r="A4" s="2" t="s">
        <v>4</v>
      </c>
      <c r="B4" s="2" t="s">
        <v>10</v>
      </c>
      <c r="C4" s="4">
        <v>8.2769629686857105</v>
      </c>
      <c r="D4" s="4">
        <v>21.317825930526599</v>
      </c>
      <c r="E4" s="4">
        <v>11.1631814210755</v>
      </c>
      <c r="F4" s="4">
        <v>21.922724014993602</v>
      </c>
      <c r="G4" s="4">
        <v>9.8258331572067696</v>
      </c>
      <c r="H4" s="2"/>
      <c r="I4" s="4">
        <f>D4/G4</f>
        <v>2.1695692965121247</v>
      </c>
      <c r="J4" s="2"/>
      <c r="K4" s="5">
        <f>(D4-G4)/G4</f>
        <v>1.1695692965121245</v>
      </c>
    </row>
    <row r="5" spans="1:11" ht="15.75" x14ac:dyDescent="0.25">
      <c r="A5" s="2" t="s">
        <v>4</v>
      </c>
      <c r="B5" s="2" t="s">
        <v>6</v>
      </c>
      <c r="C5" s="4">
        <v>46.404124111707198</v>
      </c>
      <c r="D5" s="4">
        <v>150.58018538824999</v>
      </c>
      <c r="E5" s="4">
        <v>80.629506323061094</v>
      </c>
      <c r="F5" s="4">
        <v>109.058678626462</v>
      </c>
      <c r="G5" s="4">
        <v>74.632936222191006</v>
      </c>
      <c r="H5" s="2"/>
      <c r="I5" s="4">
        <f t="shared" ref="I5:I23" si="0">D5/G5</f>
        <v>2.0176103609263758</v>
      </c>
      <c r="J5" s="2"/>
      <c r="K5" s="5">
        <f t="shared" ref="K5:K23" si="1">(D5-G5)/G5</f>
        <v>1.0176103609263758</v>
      </c>
    </row>
    <row r="6" spans="1:11" ht="15.75" x14ac:dyDescent="0.25">
      <c r="A6" s="2" t="s">
        <v>4</v>
      </c>
      <c r="B6" s="2" t="s">
        <v>7</v>
      </c>
      <c r="C6" s="4">
        <v>66.337949048737997</v>
      </c>
      <c r="D6" s="4">
        <v>230.41195140019201</v>
      </c>
      <c r="E6" s="4">
        <v>117.57172524932299</v>
      </c>
      <c r="F6" s="4">
        <v>137.758894342719</v>
      </c>
      <c r="G6" s="4">
        <v>141.485967001445</v>
      </c>
      <c r="H6" s="2"/>
      <c r="I6" s="4">
        <f t="shared" si="0"/>
        <v>1.6285145183185468</v>
      </c>
      <c r="J6" s="2"/>
      <c r="K6" s="5">
        <f t="shared" si="1"/>
        <v>0.62851451831854677</v>
      </c>
    </row>
    <row r="7" spans="1:11" ht="15.75" x14ac:dyDescent="0.25">
      <c r="A7" s="2" t="s">
        <v>4</v>
      </c>
      <c r="B7" s="2" t="s">
        <v>8</v>
      </c>
      <c r="C7" s="4">
        <v>97.572730652230504</v>
      </c>
      <c r="D7" s="4">
        <v>340.41991239016102</v>
      </c>
      <c r="E7" s="4">
        <v>161.32952484822701</v>
      </c>
      <c r="F7" s="4">
        <v>313.622679350152</v>
      </c>
      <c r="G7" s="4">
        <v>185.03640304467601</v>
      </c>
      <c r="H7" s="2"/>
      <c r="I7" s="4">
        <f t="shared" si="0"/>
        <v>1.8397456218815955</v>
      </c>
      <c r="J7" s="2"/>
      <c r="K7" s="5">
        <f t="shared" si="1"/>
        <v>0.83974562188159552</v>
      </c>
    </row>
    <row r="8" spans="1:11" ht="15.75" x14ac:dyDescent="0.25">
      <c r="A8" s="2" t="s">
        <v>4</v>
      </c>
      <c r="B8" s="2" t="s">
        <v>9</v>
      </c>
      <c r="C8" s="4">
        <v>221.39683154812201</v>
      </c>
      <c r="D8" s="4">
        <v>664.81678614526504</v>
      </c>
      <c r="E8" s="4">
        <v>330.56252671924898</v>
      </c>
      <c r="F8" s="4">
        <v>708.86150625745597</v>
      </c>
      <c r="G8" s="4">
        <v>414.30330265247397</v>
      </c>
      <c r="H8" s="2"/>
      <c r="I8" s="4">
        <f t="shared" si="0"/>
        <v>1.604662048042921</v>
      </c>
      <c r="J8" s="2"/>
      <c r="K8" s="5">
        <f t="shared" si="1"/>
        <v>0.60466204804292101</v>
      </c>
    </row>
    <row r="9" spans="1:11" ht="15.75" x14ac:dyDescent="0.25">
      <c r="A9" s="2" t="s">
        <v>4</v>
      </c>
      <c r="B9" s="2" t="s">
        <v>11</v>
      </c>
      <c r="C9" s="4">
        <v>525.16715632700004</v>
      </c>
      <c r="D9" s="4">
        <v>1555.63206650081</v>
      </c>
      <c r="E9" s="4">
        <v>763.38969419386899</v>
      </c>
      <c r="F9" s="4">
        <v>1264.87407344695</v>
      </c>
      <c r="G9" s="4">
        <v>937.85050670273199</v>
      </c>
      <c r="H9" s="2"/>
      <c r="I9" s="4">
        <f t="shared" si="0"/>
        <v>1.6587207186890123</v>
      </c>
      <c r="J9" s="2"/>
      <c r="K9" s="5">
        <f t="shared" si="1"/>
        <v>0.65872071868901227</v>
      </c>
    </row>
    <row r="10" spans="1:11" ht="15.75" x14ac:dyDescent="0.25">
      <c r="A10" s="2" t="s">
        <v>4</v>
      </c>
      <c r="B10" s="2" t="s">
        <v>12</v>
      </c>
      <c r="C10" s="4">
        <v>1164.5548077035701</v>
      </c>
      <c r="D10" s="4">
        <v>3089.8350569166601</v>
      </c>
      <c r="E10" s="4">
        <v>1550.30479633287</v>
      </c>
      <c r="F10" s="4">
        <v>2646.2199912433398</v>
      </c>
      <c r="G10" s="4">
        <v>1870.29776540291</v>
      </c>
      <c r="H10" s="2"/>
      <c r="I10" s="4">
        <f t="shared" si="0"/>
        <v>1.6520551508283658</v>
      </c>
      <c r="J10" s="2"/>
      <c r="K10" s="5">
        <f t="shared" si="1"/>
        <v>0.65205515082836574</v>
      </c>
    </row>
    <row r="11" spans="1:11" ht="15.75" x14ac:dyDescent="0.25">
      <c r="A11" s="2" t="s">
        <v>4</v>
      </c>
      <c r="B11" s="2" t="s">
        <v>13</v>
      </c>
      <c r="C11" s="4">
        <v>3233.97089309887</v>
      </c>
      <c r="D11" s="4">
        <v>6047.4119674944805</v>
      </c>
      <c r="E11" s="4">
        <v>3915.2392379739199</v>
      </c>
      <c r="F11" s="4">
        <v>5878.1553542723304</v>
      </c>
      <c r="G11" s="4">
        <v>4793.60275093158</v>
      </c>
      <c r="H11" s="2"/>
      <c r="I11" s="4">
        <f t="shared" si="0"/>
        <v>1.2615588486799907</v>
      </c>
      <c r="J11" s="2"/>
      <c r="K11" s="5">
        <f t="shared" si="1"/>
        <v>0.26155884867999074</v>
      </c>
    </row>
    <row r="12" spans="1:11" ht="15.75" x14ac:dyDescent="0.25">
      <c r="A12" s="2" t="s">
        <v>4</v>
      </c>
      <c r="B12" s="2" t="s">
        <v>14</v>
      </c>
      <c r="C12" s="4">
        <v>10158.694062488201</v>
      </c>
      <c r="D12" s="4">
        <v>12052.187309319799</v>
      </c>
      <c r="E12" s="4">
        <v>10154.668076636501</v>
      </c>
      <c r="F12" s="4">
        <v>8819.0461219173994</v>
      </c>
      <c r="G12" s="4">
        <v>15075.895547845201</v>
      </c>
      <c r="H12" s="2"/>
      <c r="I12" s="4">
        <f t="shared" si="0"/>
        <v>0.79943425391020428</v>
      </c>
      <c r="J12" s="2"/>
      <c r="K12" s="5">
        <f t="shared" si="1"/>
        <v>-0.20056574608979569</v>
      </c>
    </row>
    <row r="13" spans="1:11" ht="15.75" x14ac:dyDescent="0.25">
      <c r="A13" s="2"/>
      <c r="B13" s="2"/>
      <c r="C13" s="4"/>
      <c r="D13" s="4"/>
      <c r="E13" s="4"/>
      <c r="F13" s="4"/>
      <c r="G13" s="4"/>
      <c r="H13" s="2"/>
      <c r="I13" s="4"/>
      <c r="J13" s="2"/>
      <c r="K13" s="5" t="s">
        <v>16</v>
      </c>
    </row>
    <row r="14" spans="1:11" ht="15.75" x14ac:dyDescent="0.25">
      <c r="A14" s="2" t="s">
        <v>15</v>
      </c>
      <c r="B14" s="2" t="s">
        <v>5</v>
      </c>
      <c r="C14" s="4">
        <v>64.245290251134506</v>
      </c>
      <c r="D14" s="4">
        <v>175.47297016973101</v>
      </c>
      <c r="E14" s="4">
        <v>85.181396839598506</v>
      </c>
      <c r="F14" s="4">
        <v>99.454442395059203</v>
      </c>
      <c r="G14" s="4">
        <v>62.601589276056799</v>
      </c>
      <c r="H14" s="2"/>
      <c r="I14" s="4">
        <f t="shared" si="0"/>
        <v>2.8030114282872383</v>
      </c>
      <c r="J14" s="2"/>
      <c r="K14" s="5">
        <f t="shared" si="1"/>
        <v>1.803011428287238</v>
      </c>
    </row>
    <row r="15" spans="1:11" ht="15.75" x14ac:dyDescent="0.25">
      <c r="A15" s="2" t="s">
        <v>15</v>
      </c>
      <c r="B15" s="2" t="s">
        <v>10</v>
      </c>
      <c r="C15" s="4">
        <v>9.2484961896221805</v>
      </c>
      <c r="D15" s="4">
        <v>14.608132735859201</v>
      </c>
      <c r="E15" s="4">
        <v>8.58596617950157</v>
      </c>
      <c r="F15" s="4">
        <v>7.4838788038760899</v>
      </c>
      <c r="G15" s="4">
        <v>8.5456900197829402</v>
      </c>
      <c r="H15" s="2"/>
      <c r="I15" s="4">
        <f>D15/G15</f>
        <v>1.7094152376276159</v>
      </c>
      <c r="J15" s="2"/>
      <c r="K15" s="5">
        <f>(D15-G15)/G15</f>
        <v>0.70941523762761594</v>
      </c>
    </row>
    <row r="16" spans="1:11" ht="15.75" x14ac:dyDescent="0.25">
      <c r="A16" s="2" t="s">
        <v>15</v>
      </c>
      <c r="B16" s="2" t="s">
        <v>6</v>
      </c>
      <c r="C16" s="4">
        <v>20.594482097417099</v>
      </c>
      <c r="D16" s="4">
        <v>45.5863719850392</v>
      </c>
      <c r="E16" s="4">
        <v>26.731828695231801</v>
      </c>
      <c r="F16" s="4">
        <v>39.614033323040204</v>
      </c>
      <c r="G16" s="4">
        <v>29.289172367520599</v>
      </c>
      <c r="H16" s="2"/>
      <c r="I16" s="4">
        <f t="shared" si="0"/>
        <v>1.5564240400179734</v>
      </c>
      <c r="J16" s="2"/>
      <c r="K16" s="5">
        <f t="shared" si="1"/>
        <v>0.5564240400179733</v>
      </c>
    </row>
    <row r="17" spans="1:11" ht="15.75" x14ac:dyDescent="0.25">
      <c r="A17" s="2" t="s">
        <v>15</v>
      </c>
      <c r="B17" s="2" t="s">
        <v>7</v>
      </c>
      <c r="C17" s="4">
        <v>29.333624309625002</v>
      </c>
      <c r="D17" s="4">
        <v>100.247666567902</v>
      </c>
      <c r="E17" s="4">
        <v>44.090695553018797</v>
      </c>
      <c r="F17" s="4">
        <v>79.623834306584499</v>
      </c>
      <c r="G17" s="4">
        <v>60.876663383068703</v>
      </c>
      <c r="H17" s="2"/>
      <c r="I17" s="4">
        <f t="shared" si="0"/>
        <v>1.6467339206337537</v>
      </c>
      <c r="J17" s="2"/>
      <c r="K17" s="5">
        <f t="shared" si="1"/>
        <v>0.64673392063375379</v>
      </c>
    </row>
    <row r="18" spans="1:11" ht="15.75" x14ac:dyDescent="0.25">
      <c r="A18" s="2" t="s">
        <v>15</v>
      </c>
      <c r="B18" s="2" t="s">
        <v>8</v>
      </c>
      <c r="C18" s="4">
        <v>56.190450760857402</v>
      </c>
      <c r="D18" s="4">
        <v>210.04952423161299</v>
      </c>
      <c r="E18" s="4">
        <v>79.690091947049396</v>
      </c>
      <c r="F18" s="4">
        <v>171.48495135345399</v>
      </c>
      <c r="G18" s="4">
        <v>109.09115521931299</v>
      </c>
      <c r="H18" s="2"/>
      <c r="I18" s="4">
        <f t="shared" si="0"/>
        <v>1.925449627967885</v>
      </c>
      <c r="J18" s="2"/>
      <c r="K18" s="5">
        <f t="shared" si="1"/>
        <v>0.92544962796788488</v>
      </c>
    </row>
    <row r="19" spans="1:11" ht="15.75" x14ac:dyDescent="0.25">
      <c r="A19" s="2" t="s">
        <v>15</v>
      </c>
      <c r="B19" s="2" t="s">
        <v>9</v>
      </c>
      <c r="C19" s="4">
        <v>123.588546710519</v>
      </c>
      <c r="D19" s="4">
        <v>464.979026216921</v>
      </c>
      <c r="E19" s="4">
        <v>175.652816978624</v>
      </c>
      <c r="F19" s="4">
        <v>491.56740113728802</v>
      </c>
      <c r="G19" s="4">
        <v>267.08696712181899</v>
      </c>
      <c r="H19" s="2"/>
      <c r="I19" s="4">
        <f t="shared" si="0"/>
        <v>1.740927426102536</v>
      </c>
      <c r="J19" s="2"/>
      <c r="K19" s="5">
        <f t="shared" si="1"/>
        <v>0.74092742610253604</v>
      </c>
    </row>
    <row r="20" spans="1:11" ht="15.75" x14ac:dyDescent="0.25">
      <c r="A20" s="2" t="s">
        <v>15</v>
      </c>
      <c r="B20" s="2" t="s">
        <v>11</v>
      </c>
      <c r="C20" s="4">
        <v>292.28574122933702</v>
      </c>
      <c r="D20" s="4">
        <v>1016.84929923714</v>
      </c>
      <c r="E20" s="4">
        <v>429.49737579643403</v>
      </c>
      <c r="F20" s="4">
        <v>964.91385895560597</v>
      </c>
      <c r="G20" s="4">
        <v>565.98644952409302</v>
      </c>
      <c r="H20" s="2"/>
      <c r="I20" s="4">
        <f t="shared" si="0"/>
        <v>1.7965965441260172</v>
      </c>
      <c r="J20" s="2"/>
      <c r="K20" s="5">
        <f t="shared" si="1"/>
        <v>0.79659654412601733</v>
      </c>
    </row>
    <row r="21" spans="1:11" ht="15.75" x14ac:dyDescent="0.25">
      <c r="A21" s="2" t="s">
        <v>15</v>
      </c>
      <c r="B21" s="2" t="s">
        <v>12</v>
      </c>
      <c r="C21" s="4">
        <v>673.784515560209</v>
      </c>
      <c r="D21" s="4">
        <v>1929.1300268902901</v>
      </c>
      <c r="E21" s="4">
        <v>995.36527452230303</v>
      </c>
      <c r="F21" s="4">
        <v>2039.0025982603199</v>
      </c>
      <c r="G21" s="4">
        <v>1240.16867081644</v>
      </c>
      <c r="H21" s="2"/>
      <c r="I21" s="4">
        <f t="shared" si="0"/>
        <v>1.5555384298010739</v>
      </c>
      <c r="J21" s="2"/>
      <c r="K21" s="5">
        <f t="shared" si="1"/>
        <v>0.55553842980107393</v>
      </c>
    </row>
    <row r="22" spans="1:11" ht="15.75" x14ac:dyDescent="0.25">
      <c r="A22" s="2" t="s">
        <v>15</v>
      </c>
      <c r="B22" s="2" t="s">
        <v>13</v>
      </c>
      <c r="C22" s="4">
        <v>2208.58827188962</v>
      </c>
      <c r="D22" s="4">
        <v>4255.9158453864202</v>
      </c>
      <c r="E22" s="4">
        <v>2788.7574864631702</v>
      </c>
      <c r="F22" s="4">
        <v>4790.3561473022</v>
      </c>
      <c r="G22" s="4">
        <v>3573.0821073028001</v>
      </c>
      <c r="H22" s="2"/>
      <c r="I22" s="4">
        <f t="shared" si="0"/>
        <v>1.1911049669661995</v>
      </c>
      <c r="J22" s="2"/>
      <c r="K22" s="5">
        <f t="shared" si="1"/>
        <v>0.1911049669661995</v>
      </c>
    </row>
    <row r="23" spans="1:11" ht="15.75" x14ac:dyDescent="0.25">
      <c r="A23" s="2" t="s">
        <v>15</v>
      </c>
      <c r="B23" s="2" t="s">
        <v>14</v>
      </c>
      <c r="C23" s="4">
        <v>8855.1101417205591</v>
      </c>
      <c r="D23" s="4">
        <v>11082.9064577799</v>
      </c>
      <c r="E23" s="4">
        <v>9290.1491928034193</v>
      </c>
      <c r="F23" s="4">
        <v>8461.3261123323791</v>
      </c>
      <c r="G23" s="4">
        <v>13030.010261702801</v>
      </c>
      <c r="H23" s="2"/>
      <c r="I23" s="4">
        <f t="shared" si="0"/>
        <v>0.85056774593296081</v>
      </c>
      <c r="J23" s="2"/>
      <c r="K23" s="5">
        <f t="shared" si="1"/>
        <v>-0.14943225406703919</v>
      </c>
    </row>
  </sheetData>
  <conditionalFormatting sqref="I3:I1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{A672F0CF-B91F-4484-9356-19FA40931052}</x14:id>
        </ext>
      </extLst>
    </cfRule>
  </conditionalFormatting>
  <conditionalFormatting sqref="I3:I2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{166B829B-8B05-4E1D-B2FB-949BA1D35B0F}</x14:id>
        </ext>
      </extLst>
    </cfRule>
  </conditionalFormatting>
  <conditionalFormatting sqref="K3:K2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{9CBA0287-3122-4057-8B9C-C261760DE290}</x14:id>
        </ext>
      </extLst>
    </cfRule>
  </conditionalFormatting>
  <conditionalFormatting sqref="D3:G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{354514F0-5FEA-49EF-B2A8-88690DF54BE9}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2F0CF-B91F-4484-9356-19FA409310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I3:I12</xm:sqref>
        </x14:conditionalFormatting>
        <x14:conditionalFormatting xmlns:xm="http://schemas.microsoft.com/office/excel/2006/main">
          <x14:cfRule type="dataBar" id="{166B829B-8B05-4E1D-B2FB-949BA1D35B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I3:I23</xm:sqref>
        </x14:conditionalFormatting>
        <x14:conditionalFormatting xmlns:xm="http://schemas.microsoft.com/office/excel/2006/main">
          <x14:cfRule type="dataBar" id="{9CBA0287-3122-4057-8B9C-C261760DE2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K3:K23</xm:sqref>
        </x14:conditionalFormatting>
        <x14:conditionalFormatting xmlns:xm="http://schemas.microsoft.com/office/excel/2006/main">
          <x14:cfRule type="dataBar" id="{354514F0-5FEA-49EF-B2A8-88690DF54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D3:G23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raceAgetemp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SamFam</dc:creator>
  <cp:lastModifiedBy>Samuel, Michael@CDPH</cp:lastModifiedBy>
  <dcterms:created xsi:type="dcterms:W3CDTF">2020-01-29T06:30:15Z</dcterms:created>
  <dcterms:modified xsi:type="dcterms:W3CDTF">2020-02-13T02:20:41Z</dcterms:modified>
</cp:coreProperties>
</file>