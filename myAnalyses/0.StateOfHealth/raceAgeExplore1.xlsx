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raceAGeExplore" sheetId="1" r:id="rId1"/>
  </sheets>
  <definedNames>
    <definedName name="_xlnm._FilterDatabase" localSheetId="0" hidden="1">raceAGeExplore!$A$7:$AB$7</definedName>
  </definedNames>
  <calcPr calcId="145621"/>
</workbook>
</file>

<file path=xl/calcChain.xml><?xml version="1.0" encoding="utf-8"?>
<calcChain xmlns="http://schemas.openxmlformats.org/spreadsheetml/2006/main">
  <c r="P62" i="1" l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5" i="1"/>
</calcChain>
</file>

<file path=xl/sharedStrings.xml><?xml version="1.0" encoding="utf-8"?>
<sst xmlns="http://schemas.openxmlformats.org/spreadsheetml/2006/main" count="157" uniqueCount="91">
  <si>
    <t>county</t>
  </si>
  <si>
    <t>Cause</t>
  </si>
  <si>
    <t>rate_&lt;75_AIAN-NH</t>
  </si>
  <si>
    <t>rate_&lt;75_Asian-NH</t>
  </si>
  <si>
    <t>rate_&lt;75_Black-NH</t>
  </si>
  <si>
    <t>rate_&lt;75_Hisp</t>
  </si>
  <si>
    <t>rate_&lt;75_NHPI-NH</t>
  </si>
  <si>
    <t>rate_&lt;75_White-NH</t>
  </si>
  <si>
    <t>rate_&gt;=75_AIAN-NH</t>
  </si>
  <si>
    <t>rate_&gt;=75_Asian-NH</t>
  </si>
  <si>
    <t>rate_&gt;=75_Black-NH</t>
  </si>
  <si>
    <t>rate_&gt;=75_Hisp</t>
  </si>
  <si>
    <t>rate_&gt;=75_NHPI-NH</t>
  </si>
  <si>
    <t>rate_&gt;=75_White-NH</t>
  </si>
  <si>
    <t>Ndeaths_&lt;75_AIAN-NH</t>
  </si>
  <si>
    <t>Ndeaths_&lt;75_Asian-NH</t>
  </si>
  <si>
    <t>Ndeaths_&lt;75_Black-NH</t>
  </si>
  <si>
    <t>Ndeaths_&lt;75_Hisp</t>
  </si>
  <si>
    <t>Ndeaths_&lt;75_NHPI-NH</t>
  </si>
  <si>
    <t>Ndeaths_&lt;75_White-NH</t>
  </si>
  <si>
    <t>Ndeaths_&gt;=75_AIAN-NH</t>
  </si>
  <si>
    <t>Ndeaths_&gt;=75_Asian-NH</t>
  </si>
  <si>
    <t>Ndeaths_&gt;=75_Black-NH</t>
  </si>
  <si>
    <t>Ndeaths_&gt;=75_Hisp</t>
  </si>
  <si>
    <t>Ndeaths_&gt;=75_NHPI-NH</t>
  </si>
  <si>
    <t>Ndeaths_&gt;=75_White-NH</t>
  </si>
  <si>
    <t>California</t>
  </si>
  <si>
    <t>Tuberculosis</t>
  </si>
  <si>
    <t>HIV/ and other Sexually transmitted diseases (STDs)</t>
  </si>
  <si>
    <t>Meningitis</t>
  </si>
  <si>
    <t>Encephalitis</t>
  </si>
  <si>
    <t>Hepatitis</t>
  </si>
  <si>
    <t>Respiratory infections</t>
  </si>
  <si>
    <t>Maternal conditions</t>
  </si>
  <si>
    <t>Neonatal conditions</t>
  </si>
  <si>
    <t>Other Infectious Diseases</t>
  </si>
  <si>
    <t>Mouth and oropharynx cancers</t>
  </si>
  <si>
    <t>Esophagus cancer</t>
  </si>
  <si>
    <t>Stomach cancer</t>
  </si>
  <si>
    <t>Colon and rectum cancers</t>
  </si>
  <si>
    <t>Liver cancer</t>
  </si>
  <si>
    <t>Pancreas cancer</t>
  </si>
  <si>
    <t>Trachea, bronchus and lung cancers</t>
  </si>
  <si>
    <t>Melanoma and other skin cancers</t>
  </si>
  <si>
    <t>Breast cancer</t>
  </si>
  <si>
    <t>Uterine cancer</t>
  </si>
  <si>
    <t>Ovary cancer</t>
  </si>
  <si>
    <t>Prostate cancer</t>
  </si>
  <si>
    <t>Kidney, renal pelvis and ureter cancer</t>
  </si>
  <si>
    <t>Bladder cancer</t>
  </si>
  <si>
    <t>Brain and nervous system cancers</t>
  </si>
  <si>
    <t>Lymphomas and multiple myeloma</t>
  </si>
  <si>
    <t>Leukemia</t>
  </si>
  <si>
    <t>Other malignant neoplasms</t>
  </si>
  <si>
    <t>Hypertensive heart disease</t>
  </si>
  <si>
    <t>Ischemic heart disease</t>
  </si>
  <si>
    <t>Stroke</t>
  </si>
  <si>
    <t>Cardiomyopathy, myocarditis, endocarditis</t>
  </si>
  <si>
    <t>Congestive heart failure</t>
  </si>
  <si>
    <t>Other or unspecified cardiovascular diseases</t>
  </si>
  <si>
    <t>Diabetes mellitus</t>
  </si>
  <si>
    <t>Endocrine, blood, immune disorders</t>
  </si>
  <si>
    <t>Mental Health disorders</t>
  </si>
  <si>
    <t>Substance use disorders</t>
  </si>
  <si>
    <t>Alzheimerâ€™s disease and other dementias</t>
  </si>
  <si>
    <t>Other neurological conditions</t>
  </si>
  <si>
    <t>Digestive diseases (excluding cirrhosis)</t>
  </si>
  <si>
    <t>Kidney diseases</t>
  </si>
  <si>
    <t>Cirrhosis of the liver</t>
  </si>
  <si>
    <t>Congenital anomalies</t>
  </si>
  <si>
    <t>Chronic obstructive pulmonary disease</t>
  </si>
  <si>
    <t>Asthma</t>
  </si>
  <si>
    <t>Other respiratory diseases</t>
  </si>
  <si>
    <t>Other Chronic Conditions</t>
  </si>
  <si>
    <t>Road injury</t>
  </si>
  <si>
    <t>Drug poisonings</t>
  </si>
  <si>
    <t>Poisonings (non-drug)</t>
  </si>
  <si>
    <t>Falls</t>
  </si>
  <si>
    <t>Other unintentional injuries</t>
  </si>
  <si>
    <t>Suicide/Self-harm</t>
  </si>
  <si>
    <t>Homicide/Interpersonal violence</t>
  </si>
  <si>
    <t>NA</t>
  </si>
  <si>
    <t>Symptoms, signs and ill-defined conditions, not elsewhere classified</t>
  </si>
  <si>
    <t>Unknown/Missing Value</t>
  </si>
  <si>
    <t>Code does not map</t>
  </si>
  <si>
    <t xml:space="preserve"> </t>
  </si>
  <si>
    <t>Black/White Percent Difference</t>
  </si>
  <si>
    <t>All CAUSES</t>
  </si>
  <si>
    <t>Stratified by 0-74 and 75+ Age Groups</t>
  </si>
  <si>
    <t>California, 2016-2018 Combined</t>
  </si>
  <si>
    <t>Crude Rates and Numbers of Deaths by Cause, by Race/Ethnic Group, with black to white percent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</si>
</sst>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9" fontId="0" fillId="0" borderId="0" xfId="42" applyFont="1"/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5"/>
  <sheetViews>
    <sheetView tabSelected="1" workbookViewId="0">
      <pane xSplit="2" ySplit="7" topLeftCell="D8" activePane="bottomRight" state="frozen"/>
      <selection pane="topRight" activeCell="C1" sqref="C1"/>
      <selection pane="bottomLeft" activeCell="A2" sqref="A2"/>
      <selection pane="bottomRight" activeCell="H3" sqref="H3"/>
    </sheetView>
  </sheetViews>
  <sheetFormatPr defaultRowHeight="15" x14ac:dyDescent="0.25"/>
  <cols>
    <col min="1" max="1" width="9.7109375" customWidth="1"/>
    <col min="2" max="2" width="43.5703125" customWidth="1"/>
    <col min="3" max="3" width="15.7109375" style="2" hidden="1" customWidth="1"/>
    <col min="4" max="6" width="15.7109375" style="2" customWidth="1"/>
    <col min="7" max="7" width="15.7109375" style="2" hidden="1" customWidth="1"/>
    <col min="8" max="9" width="15.7109375" style="2" customWidth="1"/>
    <col min="10" max="10" width="15.7109375" style="2" hidden="1" customWidth="1"/>
    <col min="11" max="13" width="15.7109375" style="2" customWidth="1"/>
    <col min="14" max="14" width="15.7109375" style="2" hidden="1" customWidth="1"/>
    <col min="15" max="16" width="15.7109375" style="2" customWidth="1"/>
  </cols>
  <sheetData>
    <row r="1" spans="1:28" ht="15.75" x14ac:dyDescent="0.25">
      <c r="A1" s="4" t="s">
        <v>90</v>
      </c>
    </row>
    <row r="2" spans="1:28" ht="15.75" x14ac:dyDescent="0.25">
      <c r="A2" s="4" t="s">
        <v>88</v>
      </c>
    </row>
    <row r="3" spans="1:28" ht="15.75" x14ac:dyDescent="0.25">
      <c r="A3" s="4" t="s">
        <v>89</v>
      </c>
    </row>
    <row r="5" spans="1:28" x14ac:dyDescent="0.25">
      <c r="A5" t="s">
        <v>26</v>
      </c>
      <c r="B5" t="s">
        <v>87</v>
      </c>
      <c r="C5" s="2">
        <v>494.79104664171501</v>
      </c>
      <c r="D5" s="2">
        <v>196.93732484490201</v>
      </c>
      <c r="E5" s="2">
        <v>556.71808572813097</v>
      </c>
      <c r="F5" s="2">
        <v>189.46816092737501</v>
      </c>
      <c r="G5" s="2">
        <v>452.971834605011</v>
      </c>
      <c r="H5" s="2">
        <v>441.73048065654001</v>
      </c>
      <c r="I5" s="3">
        <f>(E5-H5)/H5</f>
        <v>0.26031168349688238</v>
      </c>
      <c r="J5" s="2">
        <v>4263.3975506800298</v>
      </c>
      <c r="K5" s="2">
        <v>4663.6732519212201</v>
      </c>
      <c r="L5" s="2">
        <v>6860.0257976636403</v>
      </c>
      <c r="M5" s="2">
        <v>5127.6656930250501</v>
      </c>
      <c r="N5" s="2">
        <v>6216.3680250080097</v>
      </c>
      <c r="O5" s="2">
        <v>7293.6619634214403</v>
      </c>
      <c r="P5" s="3">
        <f>(L5-O5)/O5</f>
        <v>-5.9453833743945847E-2</v>
      </c>
      <c r="Q5" s="2">
        <v>2441</v>
      </c>
      <c r="R5" s="2">
        <v>29299</v>
      </c>
      <c r="S5" s="2">
        <v>35757</v>
      </c>
      <c r="T5" s="2">
        <v>86591</v>
      </c>
      <c r="U5">
        <v>1921</v>
      </c>
      <c r="V5">
        <v>180176</v>
      </c>
      <c r="W5">
        <v>1408</v>
      </c>
      <c r="X5">
        <v>48726</v>
      </c>
      <c r="Y5">
        <v>24191</v>
      </c>
      <c r="Z5">
        <v>67160</v>
      </c>
      <c r="AA5">
        <v>1013</v>
      </c>
      <c r="AB5">
        <v>301757</v>
      </c>
    </row>
    <row r="7" spans="1:28" ht="45" x14ac:dyDescent="0.25">
      <c r="A7" t="s">
        <v>0</v>
      </c>
      <c r="B7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86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86</v>
      </c>
      <c r="Q7" t="s">
        <v>14</v>
      </c>
      <c r="R7" t="s">
        <v>15</v>
      </c>
      <c r="S7" t="s">
        <v>16</v>
      </c>
      <c r="T7" t="s">
        <v>17</v>
      </c>
      <c r="U7" t="s">
        <v>18</v>
      </c>
      <c r="V7" t="s">
        <v>19</v>
      </c>
      <c r="W7" t="s">
        <v>20</v>
      </c>
      <c r="X7" t="s">
        <v>21</v>
      </c>
      <c r="Y7" t="s">
        <v>22</v>
      </c>
      <c r="Z7" t="s">
        <v>23</v>
      </c>
      <c r="AA7" t="s">
        <v>24</v>
      </c>
      <c r="AB7" t="s">
        <v>25</v>
      </c>
    </row>
    <row r="8" spans="1:28" x14ac:dyDescent="0.25">
      <c r="A8" t="s">
        <v>26</v>
      </c>
      <c r="B8" t="s">
        <v>64</v>
      </c>
      <c r="C8" s="2">
        <v>3.8513026981534502</v>
      </c>
      <c r="D8" s="2">
        <v>1.8887807871059601</v>
      </c>
      <c r="E8" s="2">
        <v>6.1810856625015598</v>
      </c>
      <c r="F8" s="2">
        <v>1.71107969471662</v>
      </c>
      <c r="G8" s="2">
        <v>4.95180037829528</v>
      </c>
      <c r="H8" s="2">
        <v>8.1909995552876094</v>
      </c>
      <c r="I8" s="3">
        <f t="shared" ref="I8:I64" si="0">(E8-H8)/H8</f>
        <v>-0.24538078402025695</v>
      </c>
      <c r="J8" s="2">
        <v>514.75680654517498</v>
      </c>
      <c r="K8" s="2">
        <v>589.10866612434995</v>
      </c>
      <c r="L8" s="2">
        <v>1036.4761394923901</v>
      </c>
      <c r="M8" s="2">
        <v>726.77560649055204</v>
      </c>
      <c r="N8" s="2">
        <v>760.93744827343903</v>
      </c>
      <c r="O8" s="2">
        <v>1179.5275795257901</v>
      </c>
      <c r="P8" s="3">
        <f t="shared" ref="P8:P65" si="1">(L8-O8)/O8</f>
        <v>-0.1212785885777351</v>
      </c>
      <c r="Q8">
        <v>19</v>
      </c>
      <c r="R8">
        <v>281</v>
      </c>
      <c r="S8">
        <v>397</v>
      </c>
      <c r="T8">
        <v>782</v>
      </c>
      <c r="U8">
        <v>21</v>
      </c>
      <c r="V8">
        <v>3341</v>
      </c>
      <c r="W8">
        <v>170</v>
      </c>
      <c r="X8">
        <v>6155</v>
      </c>
      <c r="Y8">
        <v>3655</v>
      </c>
      <c r="Z8">
        <v>9519</v>
      </c>
      <c r="AA8">
        <v>124</v>
      </c>
      <c r="AB8">
        <v>48800</v>
      </c>
    </row>
    <row r="9" spans="1:28" x14ac:dyDescent="0.25">
      <c r="A9" t="s">
        <v>26</v>
      </c>
      <c r="B9" t="s">
        <v>55</v>
      </c>
      <c r="C9" s="2">
        <v>52.7020369220999</v>
      </c>
      <c r="D9" s="2">
        <v>24.029862327059799</v>
      </c>
      <c r="E9" s="2">
        <v>76.866548906222107</v>
      </c>
      <c r="F9" s="2">
        <v>18.714660650781699</v>
      </c>
      <c r="G9" s="2">
        <v>76.163405818541705</v>
      </c>
      <c r="H9" s="2">
        <v>56.900601220793199</v>
      </c>
      <c r="I9" s="3">
        <f t="shared" si="0"/>
        <v>0.35089168228564777</v>
      </c>
      <c r="J9" s="2">
        <v>711.57558551832994</v>
      </c>
      <c r="K9" s="2">
        <v>727.221388336769</v>
      </c>
      <c r="L9" s="2">
        <v>1138.84765422748</v>
      </c>
      <c r="M9" s="2">
        <v>802.43845196088898</v>
      </c>
      <c r="N9" s="2">
        <v>1086.1768414870801</v>
      </c>
      <c r="O9" s="2">
        <v>1147.4047895014101</v>
      </c>
      <c r="P9" s="3">
        <f t="shared" si="1"/>
        <v>-7.4578172866512403E-3</v>
      </c>
      <c r="Q9">
        <v>260</v>
      </c>
      <c r="R9">
        <v>3575</v>
      </c>
      <c r="S9">
        <v>4937</v>
      </c>
      <c r="T9">
        <v>8553</v>
      </c>
      <c r="U9">
        <v>323</v>
      </c>
      <c r="V9">
        <v>23209</v>
      </c>
      <c r="W9">
        <v>235</v>
      </c>
      <c r="X9">
        <v>7598</v>
      </c>
      <c r="Y9">
        <v>4016</v>
      </c>
      <c r="Z9">
        <v>10510</v>
      </c>
      <c r="AA9">
        <v>177</v>
      </c>
      <c r="AB9">
        <v>47471</v>
      </c>
    </row>
    <row r="10" spans="1:28" x14ac:dyDescent="0.25">
      <c r="A10" t="s">
        <v>26</v>
      </c>
      <c r="B10" t="s">
        <v>56</v>
      </c>
      <c r="C10" s="2">
        <v>12.9728090885169</v>
      </c>
      <c r="D10" s="2">
        <v>12.878661879341699</v>
      </c>
      <c r="E10" s="2">
        <v>25.3938305177331</v>
      </c>
      <c r="F10" s="2">
        <v>7.9317952600355204</v>
      </c>
      <c r="G10" s="2">
        <v>22.872601747363898</v>
      </c>
      <c r="H10" s="2">
        <v>14.173052507966901</v>
      </c>
      <c r="I10" s="3">
        <f t="shared" si="0"/>
        <v>0.79169804835329716</v>
      </c>
      <c r="J10" s="2">
        <v>305.82610271213298</v>
      </c>
      <c r="K10" s="2">
        <v>435.299141110243</v>
      </c>
      <c r="L10" s="2">
        <v>563.46869744771402</v>
      </c>
      <c r="M10" s="2">
        <v>412.90077528111198</v>
      </c>
      <c r="N10" s="2">
        <v>570.70308620507899</v>
      </c>
      <c r="O10" s="2">
        <v>538.69121239531705</v>
      </c>
      <c r="P10" s="3">
        <f t="shared" si="1"/>
        <v>4.5995710496599083E-2</v>
      </c>
      <c r="Q10">
        <v>64</v>
      </c>
      <c r="R10">
        <v>1916</v>
      </c>
      <c r="S10">
        <v>1631</v>
      </c>
      <c r="T10">
        <v>3625</v>
      </c>
      <c r="U10">
        <v>97</v>
      </c>
      <c r="V10">
        <v>5781</v>
      </c>
      <c r="W10">
        <v>101</v>
      </c>
      <c r="X10">
        <v>4548</v>
      </c>
      <c r="Y10">
        <v>1987</v>
      </c>
      <c r="Z10">
        <v>5408</v>
      </c>
      <c r="AA10">
        <v>93</v>
      </c>
      <c r="AB10">
        <v>22287</v>
      </c>
    </row>
    <row r="11" spans="1:28" x14ac:dyDescent="0.25">
      <c r="A11" t="s">
        <v>26</v>
      </c>
      <c r="B11" t="s">
        <v>70</v>
      </c>
      <c r="C11" s="2">
        <v>21.0808147688399</v>
      </c>
      <c r="D11" s="2">
        <v>2.4870067303530501</v>
      </c>
      <c r="E11" s="2">
        <v>20.878679781900701</v>
      </c>
      <c r="F11" s="2">
        <v>2.5184817501519601</v>
      </c>
      <c r="G11" s="2">
        <v>9.1962007025483796</v>
      </c>
      <c r="H11" s="2">
        <v>23.197616818955801</v>
      </c>
      <c r="I11" s="3">
        <f t="shared" si="0"/>
        <v>-9.9964451312093153E-2</v>
      </c>
      <c r="J11" s="2">
        <v>263.43436570252999</v>
      </c>
      <c r="K11" s="2">
        <v>186.06454052733301</v>
      </c>
      <c r="L11" s="2">
        <v>322.42773477506302</v>
      </c>
      <c r="M11" s="2">
        <v>207.59563757199399</v>
      </c>
      <c r="N11" s="2">
        <v>300.69302391450401</v>
      </c>
      <c r="O11" s="2">
        <v>493.22622515990702</v>
      </c>
      <c r="P11" s="3">
        <f t="shared" si="1"/>
        <v>-0.3462883392493375</v>
      </c>
      <c r="Q11">
        <v>104</v>
      </c>
      <c r="R11">
        <v>370</v>
      </c>
      <c r="S11">
        <v>1341</v>
      </c>
      <c r="T11">
        <v>1151</v>
      </c>
      <c r="U11">
        <v>39</v>
      </c>
      <c r="V11">
        <v>9462</v>
      </c>
      <c r="W11">
        <v>87</v>
      </c>
      <c r="X11">
        <v>1944</v>
      </c>
      <c r="Y11">
        <v>1137</v>
      </c>
      <c r="Z11">
        <v>2719</v>
      </c>
      <c r="AA11">
        <v>49</v>
      </c>
      <c r="AB11">
        <v>20406</v>
      </c>
    </row>
    <row r="12" spans="1:28" x14ac:dyDescent="0.25">
      <c r="A12" t="s">
        <v>26</v>
      </c>
      <c r="B12" t="s">
        <v>59</v>
      </c>
      <c r="C12" s="2">
        <v>13.5809095145411</v>
      </c>
      <c r="D12" s="2">
        <v>4.9740134607061002</v>
      </c>
      <c r="E12" s="2">
        <v>19.212744855231499</v>
      </c>
      <c r="F12" s="2">
        <v>4.3214608658124503</v>
      </c>
      <c r="G12" s="2">
        <v>17.213401315026399</v>
      </c>
      <c r="H12" s="2">
        <v>14.1558908806437</v>
      </c>
      <c r="I12" s="3">
        <f t="shared" si="0"/>
        <v>0.35722612001074233</v>
      </c>
      <c r="J12" s="2">
        <v>175.62291046835301</v>
      </c>
      <c r="K12" s="2">
        <v>185.96882831512801</v>
      </c>
      <c r="L12" s="2">
        <v>267.69725736821403</v>
      </c>
      <c r="M12" s="2">
        <v>204.38893776396699</v>
      </c>
      <c r="N12" s="2">
        <v>319.102800888861</v>
      </c>
      <c r="O12" s="2">
        <v>409.136543824451</v>
      </c>
      <c r="P12" s="3">
        <f t="shared" si="1"/>
        <v>-0.34570191441252579</v>
      </c>
      <c r="Q12">
        <v>67</v>
      </c>
      <c r="R12">
        <v>740</v>
      </c>
      <c r="S12">
        <v>1234</v>
      </c>
      <c r="T12">
        <v>1975</v>
      </c>
      <c r="U12">
        <v>73</v>
      </c>
      <c r="V12">
        <v>5774</v>
      </c>
      <c r="W12">
        <v>58</v>
      </c>
      <c r="X12">
        <v>1943</v>
      </c>
      <c r="Y12">
        <v>944</v>
      </c>
      <c r="Z12">
        <v>2677</v>
      </c>
      <c r="AA12">
        <v>52</v>
      </c>
      <c r="AB12">
        <v>16927</v>
      </c>
    </row>
    <row r="13" spans="1:28" x14ac:dyDescent="0.25">
      <c r="A13" t="s">
        <v>26</v>
      </c>
      <c r="B13" t="s">
        <v>54</v>
      </c>
      <c r="C13" s="2">
        <v>16.013311218638002</v>
      </c>
      <c r="D13" s="2">
        <v>5.8612699158590802</v>
      </c>
      <c r="E13" s="2">
        <v>31.792888974378201</v>
      </c>
      <c r="F13" s="2">
        <v>5.6452501436942502</v>
      </c>
      <c r="G13" s="2">
        <v>16.741801278998299</v>
      </c>
      <c r="H13" s="2">
        <v>13.6680103324538</v>
      </c>
      <c r="I13" s="3">
        <f t="shared" si="0"/>
        <v>1.3260802560917047</v>
      </c>
      <c r="J13" s="2">
        <v>245.26647841270099</v>
      </c>
      <c r="K13" s="2">
        <v>272.10981930000401</v>
      </c>
      <c r="L13" s="2">
        <v>451.73912180886202</v>
      </c>
      <c r="M13" s="2">
        <v>271.11883376908798</v>
      </c>
      <c r="N13" s="2">
        <v>214.78073136750299</v>
      </c>
      <c r="O13" s="2">
        <v>339.645933350338</v>
      </c>
      <c r="P13" s="3">
        <f t="shared" si="1"/>
        <v>0.33002953208599772</v>
      </c>
      <c r="Q13">
        <v>79</v>
      </c>
      <c r="R13">
        <v>872</v>
      </c>
      <c r="S13">
        <v>2042</v>
      </c>
      <c r="T13">
        <v>2580</v>
      </c>
      <c r="U13">
        <v>71</v>
      </c>
      <c r="V13">
        <v>5575</v>
      </c>
      <c r="W13">
        <v>81</v>
      </c>
      <c r="X13">
        <v>2843</v>
      </c>
      <c r="Y13">
        <v>1593</v>
      </c>
      <c r="Z13">
        <v>3551</v>
      </c>
      <c r="AA13">
        <v>35</v>
      </c>
      <c r="AB13">
        <v>14052</v>
      </c>
    </row>
    <row r="14" spans="1:28" x14ac:dyDescent="0.25">
      <c r="A14" t="s">
        <v>26</v>
      </c>
      <c r="B14" t="s">
        <v>58</v>
      </c>
      <c r="C14" s="2">
        <v>8.3107058223311405</v>
      </c>
      <c r="D14" s="2">
        <v>1.67368831312948</v>
      </c>
      <c r="E14" s="2">
        <v>10.229151839454699</v>
      </c>
      <c r="F14" s="2">
        <v>2.0130349349607402</v>
      </c>
      <c r="G14" s="2">
        <v>11.318400864674899</v>
      </c>
      <c r="H14" s="2">
        <v>5.15829484116286</v>
      </c>
      <c r="I14" s="3">
        <f t="shared" si="0"/>
        <v>0.98304908006163738</v>
      </c>
      <c r="J14" s="2">
        <v>175.62291046835301</v>
      </c>
      <c r="K14" s="2">
        <v>133.327111602147</v>
      </c>
      <c r="L14" s="2">
        <v>246.42893713239201</v>
      </c>
      <c r="M14" s="2">
        <v>201.02953796508299</v>
      </c>
      <c r="N14" s="2">
        <v>257.73687764100299</v>
      </c>
      <c r="O14" s="2">
        <v>297.63734865329297</v>
      </c>
      <c r="P14" s="3">
        <f t="shared" si="1"/>
        <v>-0.17204968312142774</v>
      </c>
      <c r="Q14">
        <v>41</v>
      </c>
      <c r="R14">
        <v>249</v>
      </c>
      <c r="S14">
        <v>657</v>
      </c>
      <c r="T14">
        <v>920</v>
      </c>
      <c r="U14">
        <v>48</v>
      </c>
      <c r="V14">
        <v>2104</v>
      </c>
      <c r="W14">
        <v>58</v>
      </c>
      <c r="X14">
        <v>1393</v>
      </c>
      <c r="Y14">
        <v>869</v>
      </c>
      <c r="Z14">
        <v>2633</v>
      </c>
      <c r="AA14">
        <v>42</v>
      </c>
      <c r="AB14">
        <v>12314</v>
      </c>
    </row>
    <row r="15" spans="1:28" x14ac:dyDescent="0.25">
      <c r="A15" t="s">
        <v>26</v>
      </c>
      <c r="B15" t="s">
        <v>42</v>
      </c>
      <c r="C15" s="2">
        <v>21.4862150528561</v>
      </c>
      <c r="D15" s="2">
        <v>14.5657934720947</v>
      </c>
      <c r="E15" s="2">
        <v>26.421416547267299</v>
      </c>
      <c r="F15" s="2">
        <v>4.3695986577354304</v>
      </c>
      <c r="G15" s="2">
        <v>20.278801549209199</v>
      </c>
      <c r="H15" s="2">
        <v>27.095757882382099</v>
      </c>
      <c r="I15" s="3">
        <f t="shared" si="0"/>
        <v>-2.4887339857478676E-2</v>
      </c>
      <c r="J15" s="2">
        <v>172.59492925338199</v>
      </c>
      <c r="K15" s="2">
        <v>208.36548597119599</v>
      </c>
      <c r="L15" s="2">
        <v>263.72717092419401</v>
      </c>
      <c r="M15" s="2">
        <v>147.279141182926</v>
      </c>
      <c r="N15" s="2">
        <v>251.600285316217</v>
      </c>
      <c r="O15" s="2">
        <v>280.18614143162</v>
      </c>
      <c r="P15" s="3">
        <f t="shared" si="1"/>
        <v>-5.8742985728445933E-2</v>
      </c>
      <c r="Q15">
        <v>106</v>
      </c>
      <c r="R15">
        <v>2167</v>
      </c>
      <c r="S15">
        <v>1697</v>
      </c>
      <c r="T15">
        <v>1997</v>
      </c>
      <c r="U15">
        <v>86</v>
      </c>
      <c r="V15">
        <v>11052</v>
      </c>
      <c r="W15">
        <v>57</v>
      </c>
      <c r="X15">
        <v>2177</v>
      </c>
      <c r="Y15">
        <v>930</v>
      </c>
      <c r="Z15">
        <v>1929</v>
      </c>
      <c r="AA15">
        <v>41</v>
      </c>
      <c r="AB15">
        <v>11592</v>
      </c>
    </row>
    <row r="16" spans="1:28" x14ac:dyDescent="0.25">
      <c r="A16" t="s">
        <v>26</v>
      </c>
      <c r="B16" t="s">
        <v>65</v>
      </c>
      <c r="C16" s="2">
        <v>7.0945049702826797</v>
      </c>
      <c r="D16" s="2">
        <v>3.5423041808001501</v>
      </c>
      <c r="E16" s="2">
        <v>10.2914297806386</v>
      </c>
      <c r="F16" s="2">
        <v>3.6628483490481201</v>
      </c>
      <c r="G16" s="2">
        <v>7.3098005584358896</v>
      </c>
      <c r="H16" s="2">
        <v>11.309512406028601</v>
      </c>
      <c r="I16" s="3">
        <f t="shared" si="0"/>
        <v>-9.0020028170914423E-2</v>
      </c>
      <c r="J16" s="2">
        <v>75.699530374290404</v>
      </c>
      <c r="K16" s="2">
        <v>101.646369362154</v>
      </c>
      <c r="L16" s="2">
        <v>105.77444597282199</v>
      </c>
      <c r="M16" s="2">
        <v>112.99799323521501</v>
      </c>
      <c r="N16" s="2">
        <v>98.185477196572805</v>
      </c>
      <c r="O16" s="2">
        <v>196.507361097228</v>
      </c>
      <c r="P16" s="3">
        <f t="shared" si="1"/>
        <v>-0.4617278183259157</v>
      </c>
      <c r="Q16">
        <v>35</v>
      </c>
      <c r="R16">
        <v>527</v>
      </c>
      <c r="S16">
        <v>661</v>
      </c>
      <c r="T16">
        <v>1674</v>
      </c>
      <c r="U16">
        <v>31</v>
      </c>
      <c r="V16">
        <v>4613</v>
      </c>
      <c r="W16">
        <v>25</v>
      </c>
      <c r="X16">
        <v>1062</v>
      </c>
      <c r="Y16">
        <v>373</v>
      </c>
      <c r="Z16">
        <v>1480</v>
      </c>
      <c r="AA16">
        <v>16</v>
      </c>
      <c r="AB16">
        <v>8130</v>
      </c>
    </row>
    <row r="17" spans="1:28" x14ac:dyDescent="0.25">
      <c r="A17" t="s">
        <v>26</v>
      </c>
      <c r="B17" t="s">
        <v>32</v>
      </c>
      <c r="C17" s="2">
        <v>9.9323069583957597</v>
      </c>
      <c r="D17" s="2">
        <v>3.7573966547766302</v>
      </c>
      <c r="E17" s="2">
        <v>9.6686503687996694</v>
      </c>
      <c r="F17" s="2">
        <v>3.3149433983320802</v>
      </c>
      <c r="G17" s="2">
        <v>7.5456005764499503</v>
      </c>
      <c r="H17" s="2">
        <v>7.0166539141673496</v>
      </c>
      <c r="I17" s="3">
        <f t="shared" si="0"/>
        <v>0.37795742629940243</v>
      </c>
      <c r="J17" s="2">
        <v>102.95136130903499</v>
      </c>
      <c r="K17" s="2">
        <v>213.43823321808301</v>
      </c>
      <c r="L17" s="2">
        <v>190.84772691610999</v>
      </c>
      <c r="M17" s="2">
        <v>171.86383971112801</v>
      </c>
      <c r="N17" s="2">
        <v>147.27821579485899</v>
      </c>
      <c r="O17" s="2">
        <v>196.31399592025701</v>
      </c>
      <c r="P17" s="3">
        <f t="shared" si="1"/>
        <v>-2.7844520094061086E-2</v>
      </c>
      <c r="Q17">
        <v>49</v>
      </c>
      <c r="R17">
        <v>559</v>
      </c>
      <c r="S17">
        <v>621</v>
      </c>
      <c r="T17">
        <v>1515</v>
      </c>
      <c r="U17">
        <v>32</v>
      </c>
      <c r="V17">
        <v>2862</v>
      </c>
      <c r="W17">
        <v>34</v>
      </c>
      <c r="X17">
        <v>2230</v>
      </c>
      <c r="Y17">
        <v>673</v>
      </c>
      <c r="Z17">
        <v>2251</v>
      </c>
      <c r="AA17">
        <v>24</v>
      </c>
      <c r="AB17">
        <v>8122</v>
      </c>
    </row>
    <row r="18" spans="1:28" x14ac:dyDescent="0.25">
      <c r="A18" t="s">
        <v>26</v>
      </c>
      <c r="B18" t="s">
        <v>53</v>
      </c>
      <c r="C18" s="2">
        <v>10.9458076684361</v>
      </c>
      <c r="D18" s="2">
        <v>8.0928543333650609</v>
      </c>
      <c r="E18" s="2">
        <v>14.791011031175</v>
      </c>
      <c r="F18" s="2">
        <v>6.3738812668919902</v>
      </c>
      <c r="G18" s="2">
        <v>14.855401134885801</v>
      </c>
      <c r="H18" s="2">
        <v>15.234621740962901</v>
      </c>
      <c r="I18" s="3">
        <f t="shared" si="0"/>
        <v>-2.9118590361526274E-2</v>
      </c>
      <c r="J18" s="2">
        <v>90.839436449148494</v>
      </c>
      <c r="K18" s="2">
        <v>98.105017510553907</v>
      </c>
      <c r="L18" s="2">
        <v>152.56475049163001</v>
      </c>
      <c r="M18" s="2">
        <v>115.212143102662</v>
      </c>
      <c r="N18" s="2">
        <v>73.639107897429597</v>
      </c>
      <c r="O18" s="2">
        <v>150.96986192045301</v>
      </c>
      <c r="P18" s="3">
        <f t="shared" si="1"/>
        <v>1.0564284492870184E-2</v>
      </c>
      <c r="Q18">
        <v>54</v>
      </c>
      <c r="R18">
        <v>1204</v>
      </c>
      <c r="S18">
        <v>950</v>
      </c>
      <c r="T18">
        <v>2913</v>
      </c>
      <c r="U18">
        <v>63</v>
      </c>
      <c r="V18">
        <v>6214</v>
      </c>
      <c r="W18">
        <v>30</v>
      </c>
      <c r="X18">
        <v>1025</v>
      </c>
      <c r="Y18">
        <v>538</v>
      </c>
      <c r="Z18">
        <v>1509</v>
      </c>
      <c r="AA18">
        <v>12</v>
      </c>
      <c r="AB18">
        <v>6246</v>
      </c>
    </row>
    <row r="19" spans="1:28" x14ac:dyDescent="0.25">
      <c r="A19" t="s">
        <v>26</v>
      </c>
      <c r="B19" t="s">
        <v>72</v>
      </c>
      <c r="C19" s="2">
        <v>7.0945049702826797</v>
      </c>
      <c r="D19" s="2">
        <v>2.4802850905412801</v>
      </c>
      <c r="E19" s="2">
        <v>5.6517231624384499</v>
      </c>
      <c r="F19" s="2">
        <v>2.61694541544896</v>
      </c>
      <c r="G19" s="2">
        <v>5.1876003963093398</v>
      </c>
      <c r="H19" s="2">
        <v>6.1610242090505096</v>
      </c>
      <c r="I19" s="3">
        <f t="shared" si="0"/>
        <v>-8.2664996813987424E-2</v>
      </c>
      <c r="J19" s="2">
        <v>90.839436449148494</v>
      </c>
      <c r="K19" s="2">
        <v>96.669334327472598</v>
      </c>
      <c r="L19" s="2">
        <v>83.371815324422798</v>
      </c>
      <c r="M19" s="2">
        <v>118.418842910688</v>
      </c>
      <c r="N19" s="2">
        <v>177.961177418788</v>
      </c>
      <c r="O19" s="2">
        <v>150.293083801053</v>
      </c>
      <c r="P19" s="3">
        <f t="shared" si="1"/>
        <v>-0.44527177687840702</v>
      </c>
      <c r="Q19">
        <v>35</v>
      </c>
      <c r="R19">
        <v>369</v>
      </c>
      <c r="S19">
        <v>363</v>
      </c>
      <c r="T19">
        <v>1196</v>
      </c>
      <c r="U19">
        <v>22</v>
      </c>
      <c r="V19">
        <v>2513</v>
      </c>
      <c r="W19">
        <v>30</v>
      </c>
      <c r="X19">
        <v>1010</v>
      </c>
      <c r="Y19">
        <v>294</v>
      </c>
      <c r="Z19">
        <v>1551</v>
      </c>
      <c r="AA19">
        <v>29</v>
      </c>
      <c r="AB19">
        <v>6218</v>
      </c>
    </row>
    <row r="20" spans="1:28" x14ac:dyDescent="0.25">
      <c r="A20" t="s">
        <v>26</v>
      </c>
      <c r="B20" t="s">
        <v>67</v>
      </c>
      <c r="C20" s="2">
        <v>19.256513490767201</v>
      </c>
      <c r="D20" s="2">
        <v>7.4475769114356201</v>
      </c>
      <c r="E20" s="2">
        <v>21.1900694878202</v>
      </c>
      <c r="F20" s="2">
        <v>7.9843092148605797</v>
      </c>
      <c r="G20" s="2">
        <v>30.654002341827901</v>
      </c>
      <c r="H20" s="2">
        <v>8.3650674895663908</v>
      </c>
      <c r="I20" s="3">
        <f t="shared" si="0"/>
        <v>1.5331618082281129</v>
      </c>
      <c r="J20" s="2">
        <v>169.56694803841</v>
      </c>
      <c r="K20" s="2">
        <v>189.70160459113899</v>
      </c>
      <c r="L20" s="2">
        <v>298.32363850779802</v>
      </c>
      <c r="M20" s="2">
        <v>228.43918632416501</v>
      </c>
      <c r="N20" s="2">
        <v>319.102800888861</v>
      </c>
      <c r="O20" s="2">
        <v>143.98454490236</v>
      </c>
      <c r="P20" s="3">
        <f t="shared" si="1"/>
        <v>1.0719143065674148</v>
      </c>
      <c r="Q20">
        <v>95</v>
      </c>
      <c r="R20">
        <v>1108</v>
      </c>
      <c r="S20">
        <v>1361</v>
      </c>
      <c r="T20">
        <v>3649</v>
      </c>
      <c r="U20">
        <v>130</v>
      </c>
      <c r="V20">
        <v>3412</v>
      </c>
      <c r="W20">
        <v>56</v>
      </c>
      <c r="X20">
        <v>1982</v>
      </c>
      <c r="Y20">
        <v>1052</v>
      </c>
      <c r="Z20">
        <v>2992</v>
      </c>
      <c r="AA20">
        <v>52</v>
      </c>
      <c r="AB20">
        <v>5957</v>
      </c>
    </row>
    <row r="21" spans="1:28" x14ac:dyDescent="0.25">
      <c r="A21" t="s">
        <v>26</v>
      </c>
      <c r="B21" t="s">
        <v>73</v>
      </c>
      <c r="C21" s="2">
        <v>7.7026053963069101</v>
      </c>
      <c r="D21" s="2">
        <v>2.7962021616942399</v>
      </c>
      <c r="E21" s="2">
        <v>7.9715764715385298</v>
      </c>
      <c r="F21" s="2">
        <v>2.7307256509032598</v>
      </c>
      <c r="G21" s="2">
        <v>5.4234004143233996</v>
      </c>
      <c r="H21" s="2">
        <v>5.9648913253561</v>
      </c>
      <c r="I21" s="3">
        <f t="shared" si="0"/>
        <v>0.33641604460624974</v>
      </c>
      <c r="J21" s="2">
        <v>66.615586729375593</v>
      </c>
      <c r="K21" s="2">
        <v>75.229798793458897</v>
      </c>
      <c r="L21" s="2">
        <v>119.953326130036</v>
      </c>
      <c r="M21" s="2">
        <v>88.795044684159294</v>
      </c>
      <c r="N21" s="2">
        <v>61.365923247857999</v>
      </c>
      <c r="O21" s="2">
        <v>131.51249098770199</v>
      </c>
      <c r="P21" s="3">
        <f t="shared" si="1"/>
        <v>-8.7894045431372081E-2</v>
      </c>
      <c r="Q21">
        <v>38</v>
      </c>
      <c r="R21">
        <v>416</v>
      </c>
      <c r="S21">
        <v>512</v>
      </c>
      <c r="T21">
        <v>1248</v>
      </c>
      <c r="U21">
        <v>23</v>
      </c>
      <c r="V21">
        <v>2433</v>
      </c>
      <c r="W21">
        <v>22</v>
      </c>
      <c r="X21">
        <v>786</v>
      </c>
      <c r="Y21">
        <v>423</v>
      </c>
      <c r="Z21">
        <v>1163</v>
      </c>
      <c r="AA21">
        <v>10</v>
      </c>
      <c r="AB21">
        <v>5441</v>
      </c>
    </row>
    <row r="22" spans="1:28" x14ac:dyDescent="0.25">
      <c r="A22" t="s">
        <v>26</v>
      </c>
      <c r="B22" t="s">
        <v>66</v>
      </c>
      <c r="C22" s="2">
        <v>8.1080056803230693</v>
      </c>
      <c r="D22" s="2">
        <v>2.3189657350589199</v>
      </c>
      <c r="E22" s="2">
        <v>7.4577834567714003</v>
      </c>
      <c r="F22" s="2">
        <v>2.45721546952272</v>
      </c>
      <c r="G22" s="2">
        <v>6.6024005043937102</v>
      </c>
      <c r="H22" s="2">
        <v>6.53367668806988</v>
      </c>
      <c r="I22" s="3">
        <f t="shared" si="0"/>
        <v>0.14143748042949331</v>
      </c>
      <c r="J22" s="2">
        <v>118.091267383893</v>
      </c>
      <c r="K22" s="2">
        <v>69.104217212312093</v>
      </c>
      <c r="L22" s="2">
        <v>102.08793713194601</v>
      </c>
      <c r="M22" s="2">
        <v>90.6274445744601</v>
      </c>
      <c r="N22" s="2">
        <v>85.912292547001201</v>
      </c>
      <c r="O22" s="2">
        <v>120.877406254273</v>
      </c>
      <c r="P22" s="3">
        <f t="shared" si="1"/>
        <v>-0.15544235853971086</v>
      </c>
      <c r="Q22">
        <v>40</v>
      </c>
      <c r="R22">
        <v>345</v>
      </c>
      <c r="S22">
        <v>479</v>
      </c>
      <c r="T22">
        <v>1123</v>
      </c>
      <c r="U22">
        <v>28</v>
      </c>
      <c r="V22">
        <v>2665</v>
      </c>
      <c r="W22">
        <v>39</v>
      </c>
      <c r="X22">
        <v>722</v>
      </c>
      <c r="Y22">
        <v>360</v>
      </c>
      <c r="Z22">
        <v>1187</v>
      </c>
      <c r="AA22">
        <v>14</v>
      </c>
      <c r="AB22">
        <v>5001</v>
      </c>
    </row>
    <row r="23" spans="1:28" x14ac:dyDescent="0.25">
      <c r="A23" t="s">
        <v>26</v>
      </c>
      <c r="B23" t="s">
        <v>47</v>
      </c>
      <c r="C23" s="2">
        <v>3.2432022721292202</v>
      </c>
      <c r="D23" s="2">
        <v>1.2905548438588801</v>
      </c>
      <c r="E23" s="2">
        <v>8.1895492656821602</v>
      </c>
      <c r="F23" s="2">
        <v>1.3347296851370101</v>
      </c>
      <c r="G23" s="2">
        <v>2.1222001621265498</v>
      </c>
      <c r="H23" s="2">
        <v>4.9646136185146297</v>
      </c>
      <c r="I23" s="3">
        <f t="shared" si="0"/>
        <v>0.6495844178368112</v>
      </c>
      <c r="J23" s="2">
        <v>72.671549159318801</v>
      </c>
      <c r="K23" s="2">
        <v>55.800219715758899</v>
      </c>
      <c r="L23" s="2">
        <v>184.60901964693599</v>
      </c>
      <c r="M23" s="2">
        <v>84.748494926411695</v>
      </c>
      <c r="N23" s="2">
        <v>98.185477196572805</v>
      </c>
      <c r="O23" s="2">
        <v>118.097781835308</v>
      </c>
      <c r="P23" s="3">
        <f t="shared" si="1"/>
        <v>0.56318786668136178</v>
      </c>
      <c r="Q23">
        <v>16</v>
      </c>
      <c r="R23">
        <v>192</v>
      </c>
      <c r="S23">
        <v>526</v>
      </c>
      <c r="T23">
        <v>610</v>
      </c>
      <c r="U23">
        <v>9</v>
      </c>
      <c r="V23">
        <v>2025</v>
      </c>
      <c r="W23">
        <v>24</v>
      </c>
      <c r="X23">
        <v>583</v>
      </c>
      <c r="Y23">
        <v>651</v>
      </c>
      <c r="Z23">
        <v>1110</v>
      </c>
      <c r="AA23">
        <v>16</v>
      </c>
      <c r="AB23">
        <v>4886</v>
      </c>
    </row>
    <row r="24" spans="1:28" x14ac:dyDescent="0.25">
      <c r="A24" t="s">
        <v>26</v>
      </c>
      <c r="B24" t="s">
        <v>39</v>
      </c>
      <c r="C24" s="2">
        <v>8.3107058223311405</v>
      </c>
      <c r="D24" s="2">
        <v>7.6088962669179798</v>
      </c>
      <c r="E24" s="2">
        <v>12.237615442635301</v>
      </c>
      <c r="F24" s="2">
        <v>4.8050268664932396</v>
      </c>
      <c r="G24" s="2">
        <v>11.318400864674899</v>
      </c>
      <c r="H24" s="2">
        <v>11.012861419440799</v>
      </c>
      <c r="I24" s="3">
        <f t="shared" si="0"/>
        <v>0.11121124443030454</v>
      </c>
      <c r="J24" s="2">
        <v>84.783474019205201</v>
      </c>
      <c r="K24" s="2">
        <v>84.609595589589901</v>
      </c>
      <c r="L24" s="2">
        <v>132.71431827153</v>
      </c>
      <c r="M24" s="2">
        <v>84.290394953836497</v>
      </c>
      <c r="N24" s="2">
        <v>104.322069521358</v>
      </c>
      <c r="O24" s="2">
        <v>114.230478295879</v>
      </c>
      <c r="P24" s="3">
        <f t="shared" si="1"/>
        <v>0.16181180584549681</v>
      </c>
      <c r="Q24">
        <v>41</v>
      </c>
      <c r="R24">
        <v>1132</v>
      </c>
      <c r="S24">
        <v>786</v>
      </c>
      <c r="T24">
        <v>2196</v>
      </c>
      <c r="U24">
        <v>48</v>
      </c>
      <c r="V24">
        <v>4492</v>
      </c>
      <c r="W24">
        <v>28</v>
      </c>
      <c r="X24">
        <v>884</v>
      </c>
      <c r="Y24">
        <v>468</v>
      </c>
      <c r="Z24">
        <v>1104</v>
      </c>
      <c r="AA24">
        <v>17</v>
      </c>
      <c r="AB24">
        <v>4726</v>
      </c>
    </row>
    <row r="25" spans="1:28" x14ac:dyDescent="0.25">
      <c r="A25" t="s">
        <v>26</v>
      </c>
      <c r="B25" t="s">
        <v>35</v>
      </c>
      <c r="C25" s="2">
        <v>10.9458076684361</v>
      </c>
      <c r="D25" s="2">
        <v>2.68193428489423</v>
      </c>
      <c r="E25" s="2">
        <v>7.1775327214438702</v>
      </c>
      <c r="F25" s="2">
        <v>3.0873829274234801</v>
      </c>
      <c r="G25" s="2">
        <v>7.0740005404218298</v>
      </c>
      <c r="H25" s="2">
        <v>6.5851615700396602</v>
      </c>
      <c r="I25" s="3">
        <f t="shared" si="0"/>
        <v>8.9955446818390267E-2</v>
      </c>
      <c r="J25" s="2">
        <v>84.783474019205201</v>
      </c>
      <c r="K25" s="2">
        <v>73.411266761555893</v>
      </c>
      <c r="L25" s="2">
        <v>93.580609037617407</v>
      </c>
      <c r="M25" s="2">
        <v>84.061344967548905</v>
      </c>
      <c r="N25" s="2">
        <v>147.27821579485899</v>
      </c>
      <c r="O25" s="2">
        <v>110.84658769887901</v>
      </c>
      <c r="P25" s="3">
        <f t="shared" si="1"/>
        <v>-0.15576463849447131</v>
      </c>
      <c r="Q25">
        <v>54</v>
      </c>
      <c r="R25">
        <v>399</v>
      </c>
      <c r="S25">
        <v>461</v>
      </c>
      <c r="T25">
        <v>1411</v>
      </c>
      <c r="U25">
        <v>30</v>
      </c>
      <c r="V25">
        <v>2686</v>
      </c>
      <c r="W25">
        <v>28</v>
      </c>
      <c r="X25">
        <v>767</v>
      </c>
      <c r="Y25">
        <v>330</v>
      </c>
      <c r="Z25">
        <v>1101</v>
      </c>
      <c r="AA25">
        <v>24</v>
      </c>
      <c r="AB25">
        <v>4586</v>
      </c>
    </row>
    <row r="26" spans="1:28" x14ac:dyDescent="0.25">
      <c r="A26" t="s">
        <v>26</v>
      </c>
      <c r="B26" t="s">
        <v>60</v>
      </c>
      <c r="C26" s="2">
        <v>13.1755092305249</v>
      </c>
      <c r="D26" s="2">
        <v>5.2630439726119898</v>
      </c>
      <c r="E26" s="2">
        <v>18.5899654433926</v>
      </c>
      <c r="F26" s="2">
        <v>6.24916062418247</v>
      </c>
      <c r="G26" s="2">
        <v>15.327001170913899</v>
      </c>
      <c r="H26" s="2">
        <v>10.211168257339899</v>
      </c>
      <c r="I26" s="3">
        <f t="shared" si="0"/>
        <v>0.82055225953503708</v>
      </c>
      <c r="J26" s="2">
        <v>127.175211028807</v>
      </c>
      <c r="K26" s="2">
        <v>123.277329320578</v>
      </c>
      <c r="L26" s="2">
        <v>192.54919253497599</v>
      </c>
      <c r="M26" s="2">
        <v>160.25864040588999</v>
      </c>
      <c r="N26" s="2">
        <v>190.23436206835899</v>
      </c>
      <c r="O26" s="2">
        <v>99.389700963321403</v>
      </c>
      <c r="P26" s="3">
        <f t="shared" si="1"/>
        <v>0.93731534222075985</v>
      </c>
      <c r="Q26">
        <v>65</v>
      </c>
      <c r="R26">
        <v>783</v>
      </c>
      <c r="S26">
        <v>1194</v>
      </c>
      <c r="T26">
        <v>2856</v>
      </c>
      <c r="U26">
        <v>65</v>
      </c>
      <c r="V26">
        <v>4165</v>
      </c>
      <c r="W26">
        <v>42</v>
      </c>
      <c r="X26">
        <v>1288</v>
      </c>
      <c r="Y26">
        <v>679</v>
      </c>
      <c r="Z26">
        <v>2099</v>
      </c>
      <c r="AA26">
        <v>31</v>
      </c>
      <c r="AB26">
        <v>4112</v>
      </c>
    </row>
    <row r="27" spans="1:28" x14ac:dyDescent="0.25">
      <c r="A27" t="s">
        <v>26</v>
      </c>
      <c r="B27" t="s">
        <v>41</v>
      </c>
      <c r="C27" s="2">
        <v>6.4864045442584501</v>
      </c>
      <c r="D27" s="2">
        <v>5.4243633280943504</v>
      </c>
      <c r="E27" s="2">
        <v>10.057887501199</v>
      </c>
      <c r="F27" s="2">
        <v>3.5293753805344199</v>
      </c>
      <c r="G27" s="2">
        <v>6.83820052240777</v>
      </c>
      <c r="H27" s="2">
        <v>10.154780053277801</v>
      </c>
      <c r="I27" s="3">
        <f t="shared" si="0"/>
        <v>-9.5415707253576117E-3</v>
      </c>
      <c r="J27" s="2">
        <v>51.475680654517497</v>
      </c>
      <c r="K27" s="2">
        <v>78.771150645059393</v>
      </c>
      <c r="L27" s="2">
        <v>96.416385069060397</v>
      </c>
      <c r="M27" s="2">
        <v>77.876995337783697</v>
      </c>
      <c r="N27" s="2">
        <v>110.458661846144</v>
      </c>
      <c r="O27" s="2">
        <v>91.727605825827993</v>
      </c>
      <c r="P27" s="3">
        <f t="shared" si="1"/>
        <v>5.1116337344893077E-2</v>
      </c>
      <c r="Q27">
        <v>32</v>
      </c>
      <c r="R27">
        <v>807</v>
      </c>
      <c r="S27">
        <v>646</v>
      </c>
      <c r="T27">
        <v>1613</v>
      </c>
      <c r="U27">
        <v>29</v>
      </c>
      <c r="V27">
        <v>4142</v>
      </c>
      <c r="W27">
        <v>17</v>
      </c>
      <c r="X27">
        <v>823</v>
      </c>
      <c r="Y27">
        <v>340</v>
      </c>
      <c r="Z27">
        <v>1020</v>
      </c>
      <c r="AA27">
        <v>18</v>
      </c>
      <c r="AB27">
        <v>3795</v>
      </c>
    </row>
    <row r="28" spans="1:28" x14ac:dyDescent="0.25">
      <c r="A28" t="s">
        <v>26</v>
      </c>
      <c r="B28" t="s">
        <v>51</v>
      </c>
      <c r="C28" s="2">
        <v>4.4594031241776797</v>
      </c>
      <c r="D28" s="2">
        <v>3.30704678738838</v>
      </c>
      <c r="E28" s="2">
        <v>6.6481702213807701</v>
      </c>
      <c r="F28" s="2">
        <v>2.7591707097668401</v>
      </c>
      <c r="G28" s="2">
        <v>4.0086003062390301</v>
      </c>
      <c r="H28" s="2">
        <v>6.3105755328674897</v>
      </c>
      <c r="I28" s="3">
        <f t="shared" si="0"/>
        <v>5.3496656011005582E-2</v>
      </c>
      <c r="J28" s="2">
        <v>57.531643084460697</v>
      </c>
      <c r="K28" s="2">
        <v>63.2657722677816</v>
      </c>
      <c r="L28" s="2">
        <v>81.670349705557001</v>
      </c>
      <c r="M28" s="2">
        <v>75.662845470336904</v>
      </c>
      <c r="N28" s="2">
        <v>79.775700222215406</v>
      </c>
      <c r="O28" s="2">
        <v>89.9389779388422</v>
      </c>
      <c r="P28" s="3">
        <f t="shared" si="1"/>
        <v>-9.1935981737615483E-2</v>
      </c>
      <c r="Q28">
        <v>22</v>
      </c>
      <c r="R28">
        <v>492</v>
      </c>
      <c r="S28">
        <v>427</v>
      </c>
      <c r="T28">
        <v>1261</v>
      </c>
      <c r="U28">
        <v>17</v>
      </c>
      <c r="V28">
        <v>2574</v>
      </c>
      <c r="W28">
        <v>19</v>
      </c>
      <c r="X28">
        <v>661</v>
      </c>
      <c r="Y28">
        <v>288</v>
      </c>
      <c r="Z28">
        <v>991</v>
      </c>
      <c r="AA28">
        <v>13</v>
      </c>
      <c r="AB28">
        <v>3721</v>
      </c>
    </row>
    <row r="29" spans="1:28" x14ac:dyDescent="0.25">
      <c r="A29" t="s">
        <v>26</v>
      </c>
      <c r="B29" t="s">
        <v>77</v>
      </c>
      <c r="C29" s="2">
        <v>1.6216011360646101</v>
      </c>
      <c r="D29" s="2">
        <v>1.5795853557647701</v>
      </c>
      <c r="E29" s="2">
        <v>1.9461856619967099</v>
      </c>
      <c r="F29" s="2">
        <v>1.4988357939653301</v>
      </c>
      <c r="G29" s="2">
        <v>1.65060012609842</v>
      </c>
      <c r="H29" s="2">
        <v>3.2190309536344301</v>
      </c>
      <c r="I29" s="3">
        <f t="shared" si="0"/>
        <v>-0.39541256669204156</v>
      </c>
      <c r="J29" s="2">
        <v>21.1958685048013</v>
      </c>
      <c r="K29" s="2">
        <v>63.935757753219498</v>
      </c>
      <c r="L29" s="2">
        <v>41.402330059067097</v>
      </c>
      <c r="M29" s="2">
        <v>49.322097047263</v>
      </c>
      <c r="N29" s="2">
        <v>79.775700222215406</v>
      </c>
      <c r="O29" s="2">
        <v>89.213858525199299</v>
      </c>
      <c r="P29" s="3">
        <f t="shared" si="1"/>
        <v>-0.5359204192768704</v>
      </c>
      <c r="Q29">
        <v>8</v>
      </c>
      <c r="R29">
        <v>235</v>
      </c>
      <c r="S29">
        <v>125</v>
      </c>
      <c r="T29">
        <v>685</v>
      </c>
      <c r="U29">
        <v>7</v>
      </c>
      <c r="V29">
        <v>1313</v>
      </c>
      <c r="W29">
        <v>7</v>
      </c>
      <c r="X29">
        <v>668</v>
      </c>
      <c r="Y29">
        <v>146</v>
      </c>
      <c r="Z29">
        <v>646</v>
      </c>
      <c r="AA29">
        <v>13</v>
      </c>
      <c r="AB29">
        <v>3691</v>
      </c>
    </row>
    <row r="30" spans="1:28" x14ac:dyDescent="0.25">
      <c r="A30" t="s">
        <v>26</v>
      </c>
      <c r="B30" t="s">
        <v>44</v>
      </c>
      <c r="C30" s="2">
        <v>5.2702036922099902</v>
      </c>
      <c r="D30" s="2">
        <v>7.0644434421650102</v>
      </c>
      <c r="E30" s="2">
        <v>13.4208963251293</v>
      </c>
      <c r="F30" s="2">
        <v>4.03263411427461</v>
      </c>
      <c r="G30" s="2">
        <v>13.912201062829601</v>
      </c>
      <c r="H30" s="2">
        <v>11.0618946403644</v>
      </c>
      <c r="I30" s="3">
        <f t="shared" si="0"/>
        <v>0.21325475982721798</v>
      </c>
      <c r="J30" s="2">
        <v>36.3357745796594</v>
      </c>
      <c r="K30" s="2">
        <v>37.519187184524</v>
      </c>
      <c r="L30" s="2">
        <v>93.580609037617407</v>
      </c>
      <c r="M30" s="2">
        <v>45.504597275803</v>
      </c>
      <c r="N30" s="2">
        <v>92.048884871786996</v>
      </c>
      <c r="O30" s="2">
        <v>87.183524166999106</v>
      </c>
      <c r="P30" s="3">
        <f t="shared" si="1"/>
        <v>7.3374928712043722E-2</v>
      </c>
      <c r="Q30">
        <v>26</v>
      </c>
      <c r="R30">
        <v>1051</v>
      </c>
      <c r="S30">
        <v>862</v>
      </c>
      <c r="T30">
        <v>1843</v>
      </c>
      <c r="U30">
        <v>59</v>
      </c>
      <c r="V30">
        <v>4512</v>
      </c>
      <c r="W30">
        <v>12</v>
      </c>
      <c r="X30">
        <v>392</v>
      </c>
      <c r="Y30">
        <v>330</v>
      </c>
      <c r="Z30">
        <v>596</v>
      </c>
      <c r="AA30">
        <v>15</v>
      </c>
      <c r="AB30">
        <v>3607</v>
      </c>
    </row>
    <row r="31" spans="1:28" x14ac:dyDescent="0.25">
      <c r="A31" t="s">
        <v>26</v>
      </c>
      <c r="B31" t="s">
        <v>61</v>
      </c>
      <c r="C31" s="2">
        <v>10.5404073844199</v>
      </c>
      <c r="D31" s="2">
        <v>2.6684910052706998</v>
      </c>
      <c r="E31" s="2">
        <v>11.786100369052001</v>
      </c>
      <c r="F31" s="2">
        <v>2.8291893162002499</v>
      </c>
      <c r="G31" s="2">
        <v>10.3752007926186</v>
      </c>
      <c r="H31" s="2">
        <v>7.3427248333093003</v>
      </c>
      <c r="I31" s="3">
        <f t="shared" si="0"/>
        <v>0.60513986791196572</v>
      </c>
      <c r="J31" s="2">
        <v>36.3357745796594</v>
      </c>
      <c r="K31" s="2">
        <v>60.107269265002799</v>
      </c>
      <c r="L31" s="2">
        <v>85.073280943288495</v>
      </c>
      <c r="M31" s="2">
        <v>53.444996800439803</v>
      </c>
      <c r="N31" s="2">
        <v>73.639107897429597</v>
      </c>
      <c r="O31" s="2">
        <v>86.869305754420495</v>
      </c>
      <c r="P31" s="3">
        <f t="shared" si="1"/>
        <v>-2.0675022040689051E-2</v>
      </c>
      <c r="Q31">
        <v>52</v>
      </c>
      <c r="R31">
        <v>397</v>
      </c>
      <c r="S31">
        <v>757</v>
      </c>
      <c r="T31">
        <v>1293</v>
      </c>
      <c r="U31">
        <v>44</v>
      </c>
      <c r="V31">
        <v>2995</v>
      </c>
      <c r="W31">
        <v>12</v>
      </c>
      <c r="X31">
        <v>628</v>
      </c>
      <c r="Y31">
        <v>300</v>
      </c>
      <c r="Z31">
        <v>700</v>
      </c>
      <c r="AA31">
        <v>12</v>
      </c>
      <c r="AB31">
        <v>3594</v>
      </c>
    </row>
    <row r="32" spans="1:28" x14ac:dyDescent="0.25">
      <c r="A32" t="s">
        <v>26</v>
      </c>
      <c r="B32" t="s">
        <v>57</v>
      </c>
      <c r="C32" s="2">
        <v>7.7026053963069101</v>
      </c>
      <c r="D32" s="2">
        <v>2.5340582090354</v>
      </c>
      <c r="E32" s="2">
        <v>12.471157722074899</v>
      </c>
      <c r="F32" s="2">
        <v>2.4790962840331701</v>
      </c>
      <c r="G32" s="2">
        <v>11.790000900702999</v>
      </c>
      <c r="H32" s="2">
        <v>6.1708308532352296</v>
      </c>
      <c r="I32" s="3">
        <f t="shared" si="0"/>
        <v>1.0209851831437817</v>
      </c>
      <c r="J32" s="2">
        <v>33.307793364687797</v>
      </c>
      <c r="K32" s="2">
        <v>31.585030027788001</v>
      </c>
      <c r="L32" s="2">
        <v>85.924013752721393</v>
      </c>
      <c r="M32" s="2">
        <v>42.832347435781003</v>
      </c>
      <c r="N32" s="2">
        <v>92.048884871786996</v>
      </c>
      <c r="O32" s="2">
        <v>66.662644760904797</v>
      </c>
      <c r="P32" s="3">
        <f t="shared" si="1"/>
        <v>0.28893796609630895</v>
      </c>
      <c r="Q32">
        <v>38</v>
      </c>
      <c r="R32">
        <v>377</v>
      </c>
      <c r="S32">
        <v>801</v>
      </c>
      <c r="T32">
        <v>1133</v>
      </c>
      <c r="U32">
        <v>50</v>
      </c>
      <c r="V32">
        <v>2517</v>
      </c>
      <c r="W32">
        <v>11</v>
      </c>
      <c r="X32">
        <v>330</v>
      </c>
      <c r="Y32">
        <v>303</v>
      </c>
      <c r="Z32">
        <v>561</v>
      </c>
      <c r="AA32">
        <v>15</v>
      </c>
      <c r="AB32">
        <v>2758</v>
      </c>
    </row>
    <row r="33" spans="1:28" x14ac:dyDescent="0.25">
      <c r="A33" t="s">
        <v>26</v>
      </c>
      <c r="B33" t="s">
        <v>52</v>
      </c>
      <c r="C33" s="2">
        <v>4.4594031241776797</v>
      </c>
      <c r="D33" s="2">
        <v>2.6012746071530501</v>
      </c>
      <c r="E33" s="2">
        <v>3.2228834562665498</v>
      </c>
      <c r="F33" s="2">
        <v>2.0852416228452002</v>
      </c>
      <c r="G33" s="2">
        <v>3.7728002882249698</v>
      </c>
      <c r="H33" s="2">
        <v>4.4644747650939003</v>
      </c>
      <c r="I33" s="3">
        <f t="shared" si="0"/>
        <v>-0.2781046761726374</v>
      </c>
      <c r="J33" s="2">
        <v>18.1678872898297</v>
      </c>
      <c r="K33" s="2">
        <v>31.202181178966399</v>
      </c>
      <c r="L33" s="2">
        <v>44.521683693654303</v>
      </c>
      <c r="M33" s="2">
        <v>34.433847938569002</v>
      </c>
      <c r="N33" s="2">
        <v>24.546369299143201</v>
      </c>
      <c r="O33" s="2">
        <v>64.318091990126007</v>
      </c>
      <c r="P33" s="3">
        <f t="shared" si="1"/>
        <v>-0.30778911009223986</v>
      </c>
      <c r="Q33">
        <v>22</v>
      </c>
      <c r="R33">
        <v>387</v>
      </c>
      <c r="S33">
        <v>207</v>
      </c>
      <c r="T33">
        <v>953</v>
      </c>
      <c r="U33">
        <v>16</v>
      </c>
      <c r="V33">
        <v>1821</v>
      </c>
      <c r="W33">
        <v>6</v>
      </c>
      <c r="X33">
        <v>326</v>
      </c>
      <c r="Y33">
        <v>157</v>
      </c>
      <c r="Z33">
        <v>451</v>
      </c>
      <c r="AA33">
        <v>4</v>
      </c>
      <c r="AB33">
        <v>2661</v>
      </c>
    </row>
    <row r="34" spans="1:28" x14ac:dyDescent="0.25">
      <c r="A34" t="s">
        <v>26</v>
      </c>
      <c r="B34" t="s">
        <v>49</v>
      </c>
      <c r="C34" s="2">
        <v>1.8243012780726899</v>
      </c>
      <c r="D34" s="2">
        <v>0.66544234136473501</v>
      </c>
      <c r="E34" s="2">
        <v>2.1330194855483899</v>
      </c>
      <c r="F34" s="2">
        <v>0.46606134907243202</v>
      </c>
      <c r="G34" s="2">
        <v>0.94320007205624401</v>
      </c>
      <c r="H34" s="2">
        <v>2.9346382722775401</v>
      </c>
      <c r="I34" s="3">
        <f t="shared" si="0"/>
        <v>-0.27315761342777783</v>
      </c>
      <c r="J34" s="2">
        <v>33.307793364687797</v>
      </c>
      <c r="K34" s="2">
        <v>25.172311810025001</v>
      </c>
      <c r="L34" s="2">
        <v>37.715821218191202</v>
      </c>
      <c r="M34" s="2">
        <v>27.5623483499411</v>
      </c>
      <c r="N34" s="2">
        <v>36.819553948714798</v>
      </c>
      <c r="O34" s="2">
        <v>60.2815939208472</v>
      </c>
      <c r="P34" s="3">
        <f t="shared" si="1"/>
        <v>-0.37433935028801668</v>
      </c>
      <c r="Q34">
        <v>9</v>
      </c>
      <c r="R34">
        <v>99</v>
      </c>
      <c r="S34">
        <v>137</v>
      </c>
      <c r="T34">
        <v>213</v>
      </c>
      <c r="U34">
        <v>4</v>
      </c>
      <c r="V34">
        <v>1197</v>
      </c>
      <c r="W34">
        <v>11</v>
      </c>
      <c r="X34">
        <v>263</v>
      </c>
      <c r="Y34">
        <v>133</v>
      </c>
      <c r="Z34">
        <v>361</v>
      </c>
      <c r="AA34">
        <v>6</v>
      </c>
      <c r="AB34">
        <v>2494</v>
      </c>
    </row>
    <row r="35" spans="1:28" x14ac:dyDescent="0.25">
      <c r="A35" t="s">
        <v>26</v>
      </c>
      <c r="B35" t="s">
        <v>68</v>
      </c>
      <c r="C35" s="2">
        <v>42.567029821696103</v>
      </c>
      <c r="D35" s="2">
        <v>4.5505501525648997</v>
      </c>
      <c r="E35" s="2">
        <v>14.5730382370313</v>
      </c>
      <c r="F35" s="2">
        <v>13.6558163359673</v>
      </c>
      <c r="G35" s="2">
        <v>9.9036007565905599</v>
      </c>
      <c r="H35" s="2">
        <v>19.083729583465601</v>
      </c>
      <c r="I35" s="3">
        <f t="shared" si="0"/>
        <v>-0.23636319759751911</v>
      </c>
      <c r="J35" s="2">
        <v>75.699530374290404</v>
      </c>
      <c r="K35" s="2">
        <v>37.710611608934798</v>
      </c>
      <c r="L35" s="2">
        <v>32.044269155305301</v>
      </c>
      <c r="M35" s="2">
        <v>86.886294798429304</v>
      </c>
      <c r="N35" s="2">
        <v>73.639107897429597</v>
      </c>
      <c r="O35" s="2">
        <v>47.906222594674801</v>
      </c>
      <c r="P35" s="3">
        <f t="shared" si="1"/>
        <v>-0.33110424033166613</v>
      </c>
      <c r="Q35">
        <v>210</v>
      </c>
      <c r="R35">
        <v>677</v>
      </c>
      <c r="S35">
        <v>936</v>
      </c>
      <c r="T35">
        <v>6241</v>
      </c>
      <c r="U35">
        <v>42</v>
      </c>
      <c r="V35">
        <v>7784</v>
      </c>
      <c r="W35">
        <v>25</v>
      </c>
      <c r="X35">
        <v>394</v>
      </c>
      <c r="Y35">
        <v>113</v>
      </c>
      <c r="Z35">
        <v>1138</v>
      </c>
      <c r="AA35">
        <v>12</v>
      </c>
      <c r="AB35">
        <v>1982</v>
      </c>
    </row>
    <row r="36" spans="1:28" x14ac:dyDescent="0.25">
      <c r="A36" t="s">
        <v>26</v>
      </c>
      <c r="B36" t="s">
        <v>43</v>
      </c>
      <c r="C36" s="2">
        <v>1.41890099405653</v>
      </c>
      <c r="D36" s="2">
        <v>0.450349867388255</v>
      </c>
      <c r="E36" s="2">
        <v>0.66948786772686897</v>
      </c>
      <c r="F36" s="2">
        <v>0.50763489664227301</v>
      </c>
      <c r="G36" s="2">
        <v>0.471600036028122</v>
      </c>
      <c r="H36" s="2">
        <v>3.8564628256412399</v>
      </c>
      <c r="I36" s="3">
        <f t="shared" si="0"/>
        <v>-0.82639846460453081</v>
      </c>
      <c r="J36" s="2">
        <v>6.0559624299432304</v>
      </c>
      <c r="K36" s="2">
        <v>4.9770350346817596</v>
      </c>
      <c r="L36" s="2">
        <v>4.5372416503087196</v>
      </c>
      <c r="M36" s="2">
        <v>9.0092994606455701</v>
      </c>
      <c r="N36" s="2">
        <v>0</v>
      </c>
      <c r="O36" s="2">
        <v>41.283465283402897</v>
      </c>
      <c r="P36" s="3">
        <f t="shared" si="1"/>
        <v>-0.89009542636110006</v>
      </c>
      <c r="Q36">
        <v>7</v>
      </c>
      <c r="R36">
        <v>67</v>
      </c>
      <c r="S36">
        <v>43</v>
      </c>
      <c r="T36">
        <v>232</v>
      </c>
      <c r="U36">
        <v>2</v>
      </c>
      <c r="V36">
        <v>1573</v>
      </c>
      <c r="W36">
        <v>2</v>
      </c>
      <c r="X36">
        <v>52</v>
      </c>
      <c r="Y36">
        <v>16</v>
      </c>
      <c r="Z36">
        <v>118</v>
      </c>
      <c r="AA36">
        <v>0</v>
      </c>
      <c r="AB36">
        <v>1708</v>
      </c>
    </row>
    <row r="37" spans="1:28" x14ac:dyDescent="0.25">
      <c r="A37" t="s">
        <v>26</v>
      </c>
      <c r="B37" t="s">
        <v>40</v>
      </c>
      <c r="C37" s="2">
        <v>11.553908094460301</v>
      </c>
      <c r="D37" s="2">
        <v>7.20559787821208</v>
      </c>
      <c r="E37" s="2">
        <v>8.57878639808151</v>
      </c>
      <c r="F37" s="2">
        <v>4.7918983777869704</v>
      </c>
      <c r="G37" s="2">
        <v>7.5456005764499503</v>
      </c>
      <c r="H37" s="2">
        <v>6.9896856426593699</v>
      </c>
      <c r="I37" s="3">
        <f t="shared" si="0"/>
        <v>0.2273493883220668</v>
      </c>
      <c r="J37" s="2">
        <v>39.363755794630997</v>
      </c>
      <c r="K37" s="2">
        <v>72.741281276118002</v>
      </c>
      <c r="L37" s="2">
        <v>46.506726915664402</v>
      </c>
      <c r="M37" s="2">
        <v>72.9905956303149</v>
      </c>
      <c r="N37" s="2">
        <v>73.639107897429597</v>
      </c>
      <c r="O37" s="2">
        <v>38.576352805802699</v>
      </c>
      <c r="P37" s="3">
        <f t="shared" si="1"/>
        <v>0.20557604680214367</v>
      </c>
      <c r="Q37">
        <v>57</v>
      </c>
      <c r="R37">
        <v>1072</v>
      </c>
      <c r="S37">
        <v>551</v>
      </c>
      <c r="T37">
        <v>2190</v>
      </c>
      <c r="U37">
        <v>32</v>
      </c>
      <c r="V37">
        <v>2851</v>
      </c>
      <c r="W37">
        <v>13</v>
      </c>
      <c r="X37">
        <v>760</v>
      </c>
      <c r="Y37">
        <v>164</v>
      </c>
      <c r="Z37">
        <v>956</v>
      </c>
      <c r="AA37">
        <v>12</v>
      </c>
      <c r="AB37">
        <v>1596</v>
      </c>
    </row>
    <row r="38" spans="1:28" x14ac:dyDescent="0.25">
      <c r="A38" t="s">
        <v>26</v>
      </c>
      <c r="B38" t="s">
        <v>78</v>
      </c>
      <c r="C38" s="2">
        <v>7.4999052542988398</v>
      </c>
      <c r="D38" s="2">
        <v>2.3391306544942201</v>
      </c>
      <c r="E38" s="2">
        <v>6.6326007360847896</v>
      </c>
      <c r="F38" s="2">
        <v>2.7766753613751902</v>
      </c>
      <c r="G38" s="2">
        <v>4.0086003062390301</v>
      </c>
      <c r="H38" s="2">
        <v>5.6143037957523498</v>
      </c>
      <c r="I38" s="3">
        <f t="shared" si="0"/>
        <v>0.18137546121085563</v>
      </c>
      <c r="J38" s="2">
        <v>15.139906074858001</v>
      </c>
      <c r="K38" s="2">
        <v>24.215189687970799</v>
      </c>
      <c r="L38" s="2">
        <v>27.790605108140898</v>
      </c>
      <c r="M38" s="2">
        <v>19.774648816162699</v>
      </c>
      <c r="N38" s="2">
        <v>30.682961623929</v>
      </c>
      <c r="O38" s="2">
        <v>35.409998032895402</v>
      </c>
      <c r="P38" s="3">
        <f t="shared" si="1"/>
        <v>-0.21517631595675865</v>
      </c>
      <c r="Q38">
        <v>37</v>
      </c>
      <c r="R38">
        <v>348</v>
      </c>
      <c r="S38">
        <v>426</v>
      </c>
      <c r="T38">
        <v>1269</v>
      </c>
      <c r="U38">
        <v>17</v>
      </c>
      <c r="V38">
        <v>2290</v>
      </c>
      <c r="W38">
        <v>5</v>
      </c>
      <c r="X38">
        <v>253</v>
      </c>
      <c r="Y38">
        <v>98</v>
      </c>
      <c r="Z38">
        <v>259</v>
      </c>
      <c r="AA38">
        <v>5</v>
      </c>
      <c r="AB38">
        <v>1465</v>
      </c>
    </row>
    <row r="39" spans="1:28" x14ac:dyDescent="0.25">
      <c r="A39" t="s">
        <v>26</v>
      </c>
      <c r="B39" t="s">
        <v>50</v>
      </c>
      <c r="C39" s="2">
        <v>2.8378019881130698</v>
      </c>
      <c r="D39" s="2">
        <v>2.5273365692236398</v>
      </c>
      <c r="E39" s="2">
        <v>3.0827580886027901</v>
      </c>
      <c r="F39" s="2">
        <v>2.1443198220233901</v>
      </c>
      <c r="G39" s="2">
        <v>2.8296002161687301</v>
      </c>
      <c r="H39" s="2">
        <v>6.7322612328104601</v>
      </c>
      <c r="I39" s="3">
        <f t="shared" si="0"/>
        <v>-0.54209173084689444</v>
      </c>
      <c r="J39" s="2">
        <v>6.0559624299432304</v>
      </c>
      <c r="K39" s="2">
        <v>16.6539249237428</v>
      </c>
      <c r="L39" s="2">
        <v>19.283277013812</v>
      </c>
      <c r="M39" s="2">
        <v>22.7522986379015</v>
      </c>
      <c r="N39" s="2">
        <v>6.1365923247858003</v>
      </c>
      <c r="O39" s="2">
        <v>33.307151733330898</v>
      </c>
      <c r="P39" s="3">
        <f t="shared" si="1"/>
        <v>-0.42104695207200876</v>
      </c>
      <c r="Q39">
        <v>14</v>
      </c>
      <c r="R39">
        <v>376</v>
      </c>
      <c r="S39">
        <v>198</v>
      </c>
      <c r="T39">
        <v>980</v>
      </c>
      <c r="U39">
        <v>12</v>
      </c>
      <c r="V39">
        <v>2746</v>
      </c>
      <c r="W39">
        <v>2</v>
      </c>
      <c r="X39">
        <v>174</v>
      </c>
      <c r="Y39">
        <v>68</v>
      </c>
      <c r="Z39">
        <v>298</v>
      </c>
      <c r="AA39">
        <v>1</v>
      </c>
      <c r="AB39">
        <v>1378</v>
      </c>
    </row>
    <row r="40" spans="1:28" x14ac:dyDescent="0.25">
      <c r="A40" t="s">
        <v>26</v>
      </c>
      <c r="B40" t="s">
        <v>46</v>
      </c>
      <c r="C40" s="2">
        <v>2.6351018461049902</v>
      </c>
      <c r="D40" s="2">
        <v>2.6214395265883499</v>
      </c>
      <c r="E40" s="2">
        <v>3.0983275738987599</v>
      </c>
      <c r="F40" s="2">
        <v>1.63449684393007</v>
      </c>
      <c r="G40" s="2">
        <v>3.7728002882249698</v>
      </c>
      <c r="H40" s="2">
        <v>4.1825337447831901</v>
      </c>
      <c r="I40" s="3">
        <f t="shared" si="0"/>
        <v>-0.25922233675621714</v>
      </c>
      <c r="J40" s="2">
        <v>9.0839436449148501</v>
      </c>
      <c r="K40" s="2">
        <v>15.792515013894</v>
      </c>
      <c r="L40" s="2">
        <v>20.417587426389201</v>
      </c>
      <c r="M40" s="2">
        <v>19.621948825304301</v>
      </c>
      <c r="N40" s="2">
        <v>18.409776974357399</v>
      </c>
      <c r="O40" s="2">
        <v>29.439848193902101</v>
      </c>
      <c r="P40" s="3">
        <f t="shared" si="1"/>
        <v>-0.30646424220970298</v>
      </c>
      <c r="Q40">
        <v>13</v>
      </c>
      <c r="R40">
        <v>390</v>
      </c>
      <c r="S40">
        <v>199</v>
      </c>
      <c r="T40">
        <v>747</v>
      </c>
      <c r="U40">
        <v>16</v>
      </c>
      <c r="V40">
        <v>1706</v>
      </c>
      <c r="W40">
        <v>3</v>
      </c>
      <c r="X40">
        <v>165</v>
      </c>
      <c r="Y40">
        <v>72</v>
      </c>
      <c r="Z40">
        <v>257</v>
      </c>
      <c r="AA40">
        <v>3</v>
      </c>
      <c r="AB40">
        <v>1218</v>
      </c>
    </row>
    <row r="41" spans="1:28" x14ac:dyDescent="0.25">
      <c r="A41" t="s">
        <v>26</v>
      </c>
      <c r="B41" t="s">
        <v>48</v>
      </c>
      <c r="C41" s="2">
        <v>6.0810042602422998</v>
      </c>
      <c r="D41" s="2">
        <v>1.4317092799059401</v>
      </c>
      <c r="E41" s="2">
        <v>2.75579889738734</v>
      </c>
      <c r="F41" s="2">
        <v>1.6432491697342499</v>
      </c>
      <c r="G41" s="2">
        <v>1.88640014411248</v>
      </c>
      <c r="H41" s="2">
        <v>3.17980437689554</v>
      </c>
      <c r="I41" s="3">
        <f t="shared" si="0"/>
        <v>-0.13334325928633348</v>
      </c>
      <c r="J41" s="2">
        <v>33.307793364687797</v>
      </c>
      <c r="K41" s="2">
        <v>16.271076074921101</v>
      </c>
      <c r="L41" s="2">
        <v>27.223449901852302</v>
      </c>
      <c r="M41" s="2">
        <v>29.1656982539543</v>
      </c>
      <c r="N41" s="2">
        <v>0</v>
      </c>
      <c r="O41" s="2">
        <v>27.602879012673402</v>
      </c>
      <c r="P41" s="3">
        <f t="shared" si="1"/>
        <v>-1.3745997678245494E-2</v>
      </c>
      <c r="Q41">
        <v>30</v>
      </c>
      <c r="R41">
        <v>213</v>
      </c>
      <c r="S41">
        <v>177</v>
      </c>
      <c r="T41">
        <v>751</v>
      </c>
      <c r="U41">
        <v>8</v>
      </c>
      <c r="V41">
        <v>1297</v>
      </c>
      <c r="W41">
        <v>11</v>
      </c>
      <c r="X41">
        <v>170</v>
      </c>
      <c r="Y41">
        <v>96</v>
      </c>
      <c r="Z41">
        <v>382</v>
      </c>
      <c r="AA41">
        <v>0</v>
      </c>
      <c r="AB41">
        <v>1142</v>
      </c>
    </row>
    <row r="42" spans="1:28" x14ac:dyDescent="0.25">
      <c r="A42" t="s">
        <v>26</v>
      </c>
      <c r="B42" t="s">
        <v>79</v>
      </c>
      <c r="C42" s="2">
        <v>15.202510650605699</v>
      </c>
      <c r="D42" s="2">
        <v>6.7821345700708804</v>
      </c>
      <c r="E42" s="2">
        <v>7.1775327214438702</v>
      </c>
      <c r="F42" s="2">
        <v>5.7196449130297502</v>
      </c>
      <c r="G42" s="2">
        <v>9.6678007385764992</v>
      </c>
      <c r="H42" s="2">
        <v>17.002269355258701</v>
      </c>
      <c r="I42" s="3">
        <f t="shared" si="0"/>
        <v>-0.57784854648100825</v>
      </c>
      <c r="J42" s="2">
        <v>12.1119248598864</v>
      </c>
      <c r="K42" s="2">
        <v>10.0497822815689</v>
      </c>
      <c r="L42" s="2">
        <v>4.5372416503087196</v>
      </c>
      <c r="M42" s="2">
        <v>5.9552996434775798</v>
      </c>
      <c r="N42" s="2">
        <v>6.1365923247858003</v>
      </c>
      <c r="O42" s="2">
        <v>27.264489952973399</v>
      </c>
      <c r="P42" s="3">
        <f t="shared" si="1"/>
        <v>-0.83358420941911304</v>
      </c>
      <c r="Q42">
        <v>75</v>
      </c>
      <c r="R42">
        <v>1009</v>
      </c>
      <c r="S42">
        <v>461</v>
      </c>
      <c r="T42">
        <v>2614</v>
      </c>
      <c r="U42">
        <v>41</v>
      </c>
      <c r="V42">
        <v>6935</v>
      </c>
      <c r="W42">
        <v>4</v>
      </c>
      <c r="X42">
        <v>105</v>
      </c>
      <c r="Y42">
        <v>16</v>
      </c>
      <c r="Z42">
        <v>78</v>
      </c>
      <c r="AA42">
        <v>1</v>
      </c>
      <c r="AB42">
        <v>1128</v>
      </c>
    </row>
    <row r="43" spans="1:28" x14ac:dyDescent="0.25">
      <c r="A43" t="s">
        <v>26</v>
      </c>
      <c r="B43" t="s">
        <v>37</v>
      </c>
      <c r="C43" s="2">
        <v>2.8378019881130698</v>
      </c>
      <c r="D43" s="2">
        <v>1.2972764836706401</v>
      </c>
      <c r="E43" s="2">
        <v>1.80606029433294</v>
      </c>
      <c r="F43" s="2">
        <v>0.90148955783024398</v>
      </c>
      <c r="G43" s="2">
        <v>1.1790000900702999</v>
      </c>
      <c r="H43" s="2">
        <v>4.1678237785061096</v>
      </c>
      <c r="I43" s="3">
        <f t="shared" si="0"/>
        <v>-0.56666586921285489</v>
      </c>
      <c r="J43" s="2">
        <v>15.139906074858001</v>
      </c>
      <c r="K43" s="2">
        <v>10.6240555548014</v>
      </c>
      <c r="L43" s="2">
        <v>12.477414538348899</v>
      </c>
      <c r="M43" s="2">
        <v>15.575399067556701</v>
      </c>
      <c r="N43" s="2">
        <v>0</v>
      </c>
      <c r="O43" s="2">
        <v>27.264489952973399</v>
      </c>
      <c r="P43" s="3">
        <f t="shared" si="1"/>
        <v>-0.54235657590256359</v>
      </c>
      <c r="Q43">
        <v>14</v>
      </c>
      <c r="R43">
        <v>193</v>
      </c>
      <c r="S43">
        <v>116</v>
      </c>
      <c r="T43">
        <v>412</v>
      </c>
      <c r="U43">
        <v>5</v>
      </c>
      <c r="V43">
        <v>1700</v>
      </c>
      <c r="W43">
        <v>5</v>
      </c>
      <c r="X43">
        <v>111</v>
      </c>
      <c r="Y43">
        <v>44</v>
      </c>
      <c r="Z43">
        <v>204</v>
      </c>
      <c r="AA43">
        <v>0</v>
      </c>
      <c r="AB43">
        <v>1128</v>
      </c>
    </row>
    <row r="44" spans="1:28" x14ac:dyDescent="0.25">
      <c r="A44" t="s">
        <v>26</v>
      </c>
      <c r="B44" t="s">
        <v>45</v>
      </c>
      <c r="C44" s="2">
        <v>2.4324017040969199</v>
      </c>
      <c r="D44" s="2">
        <v>3.0650677541648399</v>
      </c>
      <c r="E44" s="2">
        <v>6.3367805154612897</v>
      </c>
      <c r="F44" s="2">
        <v>2.3084259308517101</v>
      </c>
      <c r="G44" s="2">
        <v>13.204801008787401</v>
      </c>
      <c r="H44" s="2">
        <v>3.9030443855186601</v>
      </c>
      <c r="I44" s="3">
        <f t="shared" si="0"/>
        <v>0.62354815614509596</v>
      </c>
      <c r="J44" s="2">
        <v>3.0279812149716099</v>
      </c>
      <c r="K44" s="2">
        <v>16.0796516505103</v>
      </c>
      <c r="L44" s="2">
        <v>35.730777996181203</v>
      </c>
      <c r="M44" s="2">
        <v>19.1638488527291</v>
      </c>
      <c r="N44" s="2">
        <v>24.546369299143201</v>
      </c>
      <c r="O44" s="2">
        <v>22.647896352780201</v>
      </c>
      <c r="P44" s="3">
        <f t="shared" si="1"/>
        <v>0.5776643198826269</v>
      </c>
      <c r="Q44">
        <v>12</v>
      </c>
      <c r="R44">
        <v>456</v>
      </c>
      <c r="S44">
        <v>407</v>
      </c>
      <c r="T44">
        <v>1055</v>
      </c>
      <c r="U44">
        <v>56</v>
      </c>
      <c r="V44">
        <v>1592</v>
      </c>
      <c r="W44">
        <v>1</v>
      </c>
      <c r="X44">
        <v>168</v>
      </c>
      <c r="Y44">
        <v>126</v>
      </c>
      <c r="Z44">
        <v>251</v>
      </c>
      <c r="AA44">
        <v>4</v>
      </c>
      <c r="AB44">
        <v>937</v>
      </c>
    </row>
    <row r="45" spans="1:28" x14ac:dyDescent="0.25">
      <c r="A45" t="s">
        <v>26</v>
      </c>
      <c r="B45" t="s">
        <v>36</v>
      </c>
      <c r="C45" s="2">
        <v>1.41890099405653</v>
      </c>
      <c r="D45" s="2">
        <v>1.8417293084236099</v>
      </c>
      <c r="E45" s="2">
        <v>2.4755481620598099</v>
      </c>
      <c r="F45" s="2">
        <v>0.65642443531328398</v>
      </c>
      <c r="G45" s="2">
        <v>2.3580001801406101</v>
      </c>
      <c r="H45" s="2">
        <v>3.0376080362171001</v>
      </c>
      <c r="I45" s="3">
        <f t="shared" si="0"/>
        <v>-0.18503370660595636</v>
      </c>
      <c r="J45" s="2">
        <v>9.0839436449148501</v>
      </c>
      <c r="K45" s="2">
        <v>13.3039974965531</v>
      </c>
      <c r="L45" s="2">
        <v>9.3580609037617393</v>
      </c>
      <c r="M45" s="2">
        <v>10.2308993875127</v>
      </c>
      <c r="N45" s="2">
        <v>6.1365923247858003</v>
      </c>
      <c r="O45" s="2">
        <v>20.95595105428</v>
      </c>
      <c r="P45" s="3">
        <f t="shared" si="1"/>
        <v>-0.55344136472152772</v>
      </c>
      <c r="Q45">
        <v>7</v>
      </c>
      <c r="R45">
        <v>274</v>
      </c>
      <c r="S45">
        <v>159</v>
      </c>
      <c r="T45">
        <v>300</v>
      </c>
      <c r="U45">
        <v>10</v>
      </c>
      <c r="V45">
        <v>1239</v>
      </c>
      <c r="W45">
        <v>3</v>
      </c>
      <c r="X45">
        <v>139</v>
      </c>
      <c r="Y45">
        <v>33</v>
      </c>
      <c r="Z45">
        <v>134</v>
      </c>
      <c r="AA45">
        <v>1</v>
      </c>
      <c r="AB45">
        <v>867</v>
      </c>
    </row>
    <row r="46" spans="1:28" x14ac:dyDescent="0.25">
      <c r="A46" t="s">
        <v>26</v>
      </c>
      <c r="B46" t="s">
        <v>38</v>
      </c>
      <c r="C46" s="2">
        <v>2.8378019881130698</v>
      </c>
      <c r="D46" s="2">
        <v>3.42803630400015</v>
      </c>
      <c r="E46" s="2">
        <v>3.1761750003786302</v>
      </c>
      <c r="F46" s="2">
        <v>2.7285375694522198</v>
      </c>
      <c r="G46" s="2">
        <v>4.7160003602812202</v>
      </c>
      <c r="H46" s="2">
        <v>2.1206868049457501</v>
      </c>
      <c r="I46" s="3">
        <f t="shared" si="0"/>
        <v>0.49771054970084599</v>
      </c>
      <c r="J46" s="2">
        <v>24.2238497197729</v>
      </c>
      <c r="K46" s="2">
        <v>48.8132282247634</v>
      </c>
      <c r="L46" s="2">
        <v>41.402330059067097</v>
      </c>
      <c r="M46" s="2">
        <v>39.778347618612997</v>
      </c>
      <c r="N46" s="2">
        <v>61.365923247857999</v>
      </c>
      <c r="O46" s="2">
        <v>20.569220700337201</v>
      </c>
      <c r="P46" s="3">
        <f t="shared" si="1"/>
        <v>1.0128292978249958</v>
      </c>
      <c r="Q46">
        <v>14</v>
      </c>
      <c r="R46">
        <v>510</v>
      </c>
      <c r="S46">
        <v>204</v>
      </c>
      <c r="T46">
        <v>1247</v>
      </c>
      <c r="U46">
        <v>20</v>
      </c>
      <c r="V46">
        <v>865</v>
      </c>
      <c r="W46">
        <v>8</v>
      </c>
      <c r="X46">
        <v>510</v>
      </c>
      <c r="Y46">
        <v>146</v>
      </c>
      <c r="Z46">
        <v>521</v>
      </c>
      <c r="AA46">
        <v>10</v>
      </c>
      <c r="AB46">
        <v>851</v>
      </c>
    </row>
    <row r="47" spans="1:28" x14ac:dyDescent="0.25">
      <c r="A47" t="s">
        <v>26</v>
      </c>
      <c r="B47" t="s">
        <v>74</v>
      </c>
      <c r="C47" s="2">
        <v>20.270014200807601</v>
      </c>
      <c r="D47" s="2">
        <v>4.61104491087079</v>
      </c>
      <c r="E47" s="2">
        <v>15.787458090117299</v>
      </c>
      <c r="F47" s="2">
        <v>10.7040944585086</v>
      </c>
      <c r="G47" s="2">
        <v>9.1962007025483796</v>
      </c>
      <c r="H47" s="2">
        <v>11.1575094211654</v>
      </c>
      <c r="I47" s="3">
        <f t="shared" si="0"/>
        <v>0.41496255967026568</v>
      </c>
      <c r="J47" s="2">
        <v>18.1678872898297</v>
      </c>
      <c r="K47" s="2">
        <v>20.0995645631378</v>
      </c>
      <c r="L47" s="2">
        <v>12.477414538348899</v>
      </c>
      <c r="M47" s="2">
        <v>17.9422489258619</v>
      </c>
      <c r="N47" s="2">
        <v>0</v>
      </c>
      <c r="O47" s="2">
        <v>16.000968394386799</v>
      </c>
      <c r="P47" s="3">
        <f t="shared" si="1"/>
        <v>-0.22020878794273327</v>
      </c>
      <c r="Q47">
        <v>100</v>
      </c>
      <c r="R47">
        <v>686</v>
      </c>
      <c r="S47">
        <v>1014</v>
      </c>
      <c r="T47">
        <v>4892</v>
      </c>
      <c r="U47">
        <v>39</v>
      </c>
      <c r="V47">
        <v>4551</v>
      </c>
      <c r="W47">
        <v>6</v>
      </c>
      <c r="X47">
        <v>210</v>
      </c>
      <c r="Y47">
        <v>44</v>
      </c>
      <c r="Z47">
        <v>235</v>
      </c>
      <c r="AA47">
        <v>0</v>
      </c>
      <c r="AB47">
        <v>662</v>
      </c>
    </row>
    <row r="48" spans="1:28" x14ac:dyDescent="0.25">
      <c r="A48" t="s">
        <v>26</v>
      </c>
      <c r="B48" t="s">
        <v>82</v>
      </c>
      <c r="C48" s="2">
        <v>6.0810042602422998</v>
      </c>
      <c r="D48" s="2">
        <v>0.98135941251768999</v>
      </c>
      <c r="E48" s="2">
        <v>5.7762790448062402</v>
      </c>
      <c r="F48" s="2">
        <v>1.8204837672688401</v>
      </c>
      <c r="G48" s="2">
        <v>3.53700027021091</v>
      </c>
      <c r="H48" s="2">
        <v>3.3489689890819698</v>
      </c>
      <c r="I48" s="3">
        <f t="shared" si="0"/>
        <v>0.72479323148037045</v>
      </c>
      <c r="J48" s="2">
        <v>18.1678872898297</v>
      </c>
      <c r="K48" s="2">
        <v>4.9770350346817596</v>
      </c>
      <c r="L48" s="2">
        <v>10.2087937131946</v>
      </c>
      <c r="M48" s="2">
        <v>6.4133996160527804</v>
      </c>
      <c r="N48" s="2">
        <v>18.409776974357399</v>
      </c>
      <c r="O48" s="2">
        <v>14.091487271793801</v>
      </c>
      <c r="P48" s="3">
        <f t="shared" si="1"/>
        <v>-0.27553468868903475</v>
      </c>
      <c r="Q48">
        <v>30</v>
      </c>
      <c r="R48">
        <v>146</v>
      </c>
      <c r="S48">
        <v>371</v>
      </c>
      <c r="T48">
        <v>832</v>
      </c>
      <c r="U48">
        <v>15</v>
      </c>
      <c r="V48">
        <v>1366</v>
      </c>
      <c r="W48">
        <v>6</v>
      </c>
      <c r="X48">
        <v>52</v>
      </c>
      <c r="Y48">
        <v>36</v>
      </c>
      <c r="Z48">
        <v>84</v>
      </c>
      <c r="AA48">
        <v>3</v>
      </c>
      <c r="AB48">
        <v>583</v>
      </c>
    </row>
    <row r="49" spans="1:28" x14ac:dyDescent="0.25">
      <c r="A49" t="s">
        <v>26</v>
      </c>
      <c r="B49" t="s">
        <v>71</v>
      </c>
      <c r="C49" s="2">
        <v>1.0135007100403799</v>
      </c>
      <c r="D49" s="2">
        <v>0.58478266362355502</v>
      </c>
      <c r="E49" s="2">
        <v>2.4288397061718898</v>
      </c>
      <c r="F49" s="2">
        <v>0.31508372895037601</v>
      </c>
      <c r="G49" s="2">
        <v>2.1222001621265498</v>
      </c>
      <c r="H49" s="2">
        <v>0.69627173711513901</v>
      </c>
      <c r="I49" s="3">
        <f t="shared" si="0"/>
        <v>2.4883502757634477</v>
      </c>
      <c r="J49" s="2">
        <v>9.0839436449148501</v>
      </c>
      <c r="K49" s="2">
        <v>10.815479979212199</v>
      </c>
      <c r="L49" s="2">
        <v>6.5222848723187896</v>
      </c>
      <c r="M49" s="2">
        <v>4.9627497028979803</v>
      </c>
      <c r="N49" s="2">
        <v>0</v>
      </c>
      <c r="O49" s="2">
        <v>6.2843682515718804</v>
      </c>
      <c r="P49" s="3">
        <f t="shared" si="1"/>
        <v>3.7858478565033202E-2</v>
      </c>
      <c r="Q49">
        <v>5</v>
      </c>
      <c r="R49">
        <v>87</v>
      </c>
      <c r="S49">
        <v>156</v>
      </c>
      <c r="T49">
        <v>144</v>
      </c>
      <c r="U49">
        <v>9</v>
      </c>
      <c r="V49">
        <v>284</v>
      </c>
      <c r="W49">
        <v>3</v>
      </c>
      <c r="X49">
        <v>113</v>
      </c>
      <c r="Y49">
        <v>23</v>
      </c>
      <c r="Z49">
        <v>65</v>
      </c>
      <c r="AA49">
        <v>0</v>
      </c>
      <c r="AB49">
        <v>260</v>
      </c>
    </row>
    <row r="50" spans="1:28" x14ac:dyDescent="0.25">
      <c r="A50" t="s">
        <v>26</v>
      </c>
      <c r="B50" t="s">
        <v>62</v>
      </c>
      <c r="C50" s="2">
        <v>0.20270014200807601</v>
      </c>
      <c r="D50" s="2">
        <v>0.18820591472942</v>
      </c>
      <c r="E50" s="2">
        <v>0.51379301476713202</v>
      </c>
      <c r="F50" s="2">
        <v>0.16191802737727601</v>
      </c>
      <c r="G50" s="2">
        <v>0</v>
      </c>
      <c r="H50" s="2">
        <v>0.573688684806136</v>
      </c>
      <c r="I50" s="3">
        <f t="shared" si="0"/>
        <v>-0.10440448212647641</v>
      </c>
      <c r="J50" s="2">
        <v>0</v>
      </c>
      <c r="K50" s="2">
        <v>1.33997097087585</v>
      </c>
      <c r="L50" s="2">
        <v>2.2686208251543598</v>
      </c>
      <c r="M50" s="2">
        <v>1.7560498948715899</v>
      </c>
      <c r="N50" s="2">
        <v>0</v>
      </c>
      <c r="O50" s="2">
        <v>5.1483478368646498</v>
      </c>
      <c r="P50" s="3">
        <f t="shared" si="1"/>
        <v>-0.55934973761680551</v>
      </c>
      <c r="Q50">
        <v>1</v>
      </c>
      <c r="R50">
        <v>28</v>
      </c>
      <c r="S50">
        <v>33</v>
      </c>
      <c r="T50">
        <v>74</v>
      </c>
      <c r="U50">
        <v>0</v>
      </c>
      <c r="V50">
        <v>234</v>
      </c>
      <c r="W50">
        <v>0</v>
      </c>
      <c r="X50">
        <v>14</v>
      </c>
      <c r="Y50">
        <v>8</v>
      </c>
      <c r="Z50">
        <v>23</v>
      </c>
      <c r="AA50">
        <v>0</v>
      </c>
      <c r="AB50">
        <v>213</v>
      </c>
    </row>
    <row r="51" spans="1:28" x14ac:dyDescent="0.25">
      <c r="A51" t="s">
        <v>26</v>
      </c>
      <c r="B51" t="s">
        <v>63</v>
      </c>
      <c r="C51" s="2">
        <v>12.567408804500699</v>
      </c>
      <c r="D51" s="2">
        <v>0.77971021816473995</v>
      </c>
      <c r="E51" s="2">
        <v>5.2624860300391099</v>
      </c>
      <c r="F51" s="2">
        <v>2.4856605283862998</v>
      </c>
      <c r="G51" s="2">
        <v>1.65060012609842</v>
      </c>
      <c r="H51" s="2">
        <v>6.6832280118868601</v>
      </c>
      <c r="I51" s="3">
        <f t="shared" si="0"/>
        <v>-0.2125831977183486</v>
      </c>
      <c r="J51" s="2">
        <v>3.0279812149716099</v>
      </c>
      <c r="K51" s="2">
        <v>1.0528343342596</v>
      </c>
      <c r="L51" s="2">
        <v>3.1193536345872399</v>
      </c>
      <c r="M51" s="2">
        <v>2.2141498674467899</v>
      </c>
      <c r="N51" s="2">
        <v>0</v>
      </c>
      <c r="O51" s="2">
        <v>4.3023751876145901</v>
      </c>
      <c r="P51" s="3">
        <f t="shared" si="1"/>
        <v>-0.27496940676697817</v>
      </c>
      <c r="Q51">
        <v>62</v>
      </c>
      <c r="R51">
        <v>116</v>
      </c>
      <c r="S51">
        <v>338</v>
      </c>
      <c r="T51">
        <v>1136</v>
      </c>
      <c r="U51">
        <v>7</v>
      </c>
      <c r="V51">
        <v>2726</v>
      </c>
      <c r="W51">
        <v>1</v>
      </c>
      <c r="X51">
        <v>11</v>
      </c>
      <c r="Y51">
        <v>11</v>
      </c>
      <c r="Z51">
        <v>29</v>
      </c>
      <c r="AA51">
        <v>0</v>
      </c>
      <c r="AB51">
        <v>178</v>
      </c>
    </row>
    <row r="52" spans="1:28" x14ac:dyDescent="0.25">
      <c r="A52" t="s">
        <v>26</v>
      </c>
      <c r="B52" t="s">
        <v>69</v>
      </c>
      <c r="C52" s="2">
        <v>1.41890099405653</v>
      </c>
      <c r="D52" s="2">
        <v>1.3913794410353499</v>
      </c>
      <c r="E52" s="2">
        <v>3.1294665444907102</v>
      </c>
      <c r="F52" s="2">
        <v>2.8838913524763599</v>
      </c>
      <c r="G52" s="2">
        <v>1.88640014411248</v>
      </c>
      <c r="H52" s="2">
        <v>2.3830145368870199</v>
      </c>
      <c r="I52" s="3">
        <f t="shared" si="0"/>
        <v>0.31323854556875497</v>
      </c>
      <c r="J52" s="2">
        <v>3.0279812149716099</v>
      </c>
      <c r="K52" s="2">
        <v>2.3928053051354601</v>
      </c>
      <c r="L52" s="2">
        <v>3.6865088408758302</v>
      </c>
      <c r="M52" s="2">
        <v>2.2141498674467899</v>
      </c>
      <c r="N52" s="2">
        <v>6.1365923247858003</v>
      </c>
      <c r="O52" s="2">
        <v>4.15735130488601</v>
      </c>
      <c r="P52" s="3">
        <f t="shared" si="1"/>
        <v>-0.11325539495707587</v>
      </c>
      <c r="Q52">
        <v>7</v>
      </c>
      <c r="R52">
        <v>207</v>
      </c>
      <c r="S52">
        <v>201</v>
      </c>
      <c r="T52">
        <v>1318</v>
      </c>
      <c r="U52">
        <v>8</v>
      </c>
      <c r="V52">
        <v>972</v>
      </c>
      <c r="W52">
        <v>1</v>
      </c>
      <c r="X52">
        <v>25</v>
      </c>
      <c r="Y52">
        <v>13</v>
      </c>
      <c r="Z52">
        <v>29</v>
      </c>
      <c r="AA52">
        <v>1</v>
      </c>
      <c r="AB52">
        <v>172</v>
      </c>
    </row>
    <row r="53" spans="1:28" x14ac:dyDescent="0.25">
      <c r="A53" t="s">
        <v>26</v>
      </c>
      <c r="B53" t="s">
        <v>31</v>
      </c>
      <c r="C53" s="2">
        <v>6.2837044022503799</v>
      </c>
      <c r="D53" s="2">
        <v>1.1494004078118101</v>
      </c>
      <c r="E53" s="2">
        <v>3.3007308827464201</v>
      </c>
      <c r="F53" s="2">
        <v>1.75046516083542</v>
      </c>
      <c r="G53" s="2">
        <v>1.41480010808436</v>
      </c>
      <c r="H53" s="2">
        <v>2.6649555571977301</v>
      </c>
      <c r="I53" s="3">
        <f t="shared" si="0"/>
        <v>0.23856882859886197</v>
      </c>
      <c r="J53" s="2">
        <v>15.139906074858001</v>
      </c>
      <c r="K53" s="2">
        <v>9.3797967961310107</v>
      </c>
      <c r="L53" s="2">
        <v>7.3730176817516702</v>
      </c>
      <c r="M53" s="2">
        <v>7.1768995703447702</v>
      </c>
      <c r="N53" s="2">
        <v>12.273184649571601</v>
      </c>
      <c r="O53" s="2">
        <v>3.6014264210931102</v>
      </c>
      <c r="P53" s="3">
        <f t="shared" si="1"/>
        <v>1.0472492894950776</v>
      </c>
      <c r="Q53">
        <v>31</v>
      </c>
      <c r="R53">
        <v>171</v>
      </c>
      <c r="S53">
        <v>212</v>
      </c>
      <c r="T53">
        <v>800</v>
      </c>
      <c r="U53">
        <v>6</v>
      </c>
      <c r="V53">
        <v>1087</v>
      </c>
      <c r="W53">
        <v>5</v>
      </c>
      <c r="X53">
        <v>98</v>
      </c>
      <c r="Y53">
        <v>26</v>
      </c>
      <c r="Z53">
        <v>94</v>
      </c>
      <c r="AA53">
        <v>2</v>
      </c>
      <c r="AB53">
        <v>149</v>
      </c>
    </row>
    <row r="54" spans="1:28" x14ac:dyDescent="0.25">
      <c r="A54" t="s">
        <v>26</v>
      </c>
      <c r="B54" t="s">
        <v>83</v>
      </c>
      <c r="C54" s="2">
        <v>0.40540028401615302</v>
      </c>
      <c r="D54" s="2">
        <v>0.127711156423535</v>
      </c>
      <c r="E54" s="2">
        <v>0.40480661769531601</v>
      </c>
      <c r="F54" s="2">
        <v>0.15097762012205501</v>
      </c>
      <c r="G54" s="2">
        <v>0.235800018014061</v>
      </c>
      <c r="H54" s="2">
        <v>0.32607091914194902</v>
      </c>
      <c r="I54" s="3">
        <f t="shared" si="0"/>
        <v>0.2414680179408788</v>
      </c>
      <c r="J54" s="2">
        <v>0</v>
      </c>
      <c r="K54" s="2">
        <v>2.3928053051354601</v>
      </c>
      <c r="L54" s="2">
        <v>3.1193536345872399</v>
      </c>
      <c r="M54" s="2">
        <v>2.3668498583051898</v>
      </c>
      <c r="N54" s="2">
        <v>0</v>
      </c>
      <c r="O54" s="2">
        <v>3.5289144797288201</v>
      </c>
      <c r="P54" s="3">
        <f t="shared" si="1"/>
        <v>-0.11605859181179504</v>
      </c>
      <c r="Q54">
        <v>2</v>
      </c>
      <c r="R54">
        <v>19</v>
      </c>
      <c r="S54">
        <v>26</v>
      </c>
      <c r="T54">
        <v>69</v>
      </c>
      <c r="U54">
        <v>1</v>
      </c>
      <c r="V54">
        <v>133</v>
      </c>
      <c r="W54">
        <v>0</v>
      </c>
      <c r="X54">
        <v>25</v>
      </c>
      <c r="Y54">
        <v>11</v>
      </c>
      <c r="Z54">
        <v>31</v>
      </c>
      <c r="AA54">
        <v>0</v>
      </c>
      <c r="AB54">
        <v>146</v>
      </c>
    </row>
    <row r="55" spans="1:28" x14ac:dyDescent="0.25">
      <c r="A55" t="s">
        <v>26</v>
      </c>
      <c r="B55" t="s">
        <v>75</v>
      </c>
      <c r="C55" s="2">
        <v>29.796920875187201</v>
      </c>
      <c r="D55" s="2">
        <v>2.38618213317657</v>
      </c>
      <c r="E55" s="2">
        <v>19.897802208254301</v>
      </c>
      <c r="F55" s="2">
        <v>6.1375684701792101</v>
      </c>
      <c r="G55" s="2">
        <v>9.9036007565905599</v>
      </c>
      <c r="H55" s="2">
        <v>18.568880763767801</v>
      </c>
      <c r="I55" s="3">
        <f t="shared" si="0"/>
        <v>7.1567126817871252E-2</v>
      </c>
      <c r="J55" s="2">
        <v>3.0279812149716099</v>
      </c>
      <c r="K55" s="2">
        <v>1.2442587586704399</v>
      </c>
      <c r="L55" s="2">
        <v>4.8208192534530196</v>
      </c>
      <c r="M55" s="2">
        <v>1.60334990401319</v>
      </c>
      <c r="N55" s="2">
        <v>6.1365923247858003</v>
      </c>
      <c r="O55" s="2">
        <v>3.0213308901787901</v>
      </c>
      <c r="P55" s="3">
        <f t="shared" si="1"/>
        <v>0.59559460008954634</v>
      </c>
      <c r="Q55">
        <v>147</v>
      </c>
      <c r="R55">
        <v>355</v>
      </c>
      <c r="S55">
        <v>1278</v>
      </c>
      <c r="T55">
        <v>2805</v>
      </c>
      <c r="U55">
        <v>42</v>
      </c>
      <c r="V55">
        <v>7574</v>
      </c>
      <c r="W55">
        <v>1</v>
      </c>
      <c r="X55">
        <v>13</v>
      </c>
      <c r="Y55">
        <v>17</v>
      </c>
      <c r="Z55">
        <v>21</v>
      </c>
      <c r="AA55">
        <v>1</v>
      </c>
      <c r="AB55">
        <v>125</v>
      </c>
    </row>
    <row r="56" spans="1:28" x14ac:dyDescent="0.25">
      <c r="A56" t="s">
        <v>26</v>
      </c>
      <c r="B56" t="s">
        <v>80</v>
      </c>
      <c r="C56" s="2">
        <v>10.5404073844199</v>
      </c>
      <c r="D56" s="2">
        <v>1.8551725880471399</v>
      </c>
      <c r="E56" s="2">
        <v>22.949421326265199</v>
      </c>
      <c r="F56" s="2">
        <v>6.0587975379416097</v>
      </c>
      <c r="G56" s="2">
        <v>8.0172006124780708</v>
      </c>
      <c r="H56" s="2">
        <v>2.89786335658484</v>
      </c>
      <c r="I56" s="3">
        <f t="shared" si="0"/>
        <v>6.9194283864755155</v>
      </c>
      <c r="J56" s="2">
        <v>6.0559624299432304</v>
      </c>
      <c r="K56" s="2">
        <v>1.43568318308127</v>
      </c>
      <c r="L56" s="2">
        <v>4.5372416503087196</v>
      </c>
      <c r="M56" s="2">
        <v>1.7560498948715899</v>
      </c>
      <c r="N56" s="2">
        <v>0</v>
      </c>
      <c r="O56" s="2">
        <v>2.0061637110787101</v>
      </c>
      <c r="P56" s="3">
        <f t="shared" si="1"/>
        <v>1.261650744280014</v>
      </c>
      <c r="Q56">
        <v>52</v>
      </c>
      <c r="R56">
        <v>276</v>
      </c>
      <c r="S56">
        <v>1474</v>
      </c>
      <c r="T56">
        <v>2769</v>
      </c>
      <c r="U56">
        <v>34</v>
      </c>
      <c r="V56">
        <v>1182</v>
      </c>
      <c r="W56">
        <v>2</v>
      </c>
      <c r="X56">
        <v>15</v>
      </c>
      <c r="Y56">
        <v>16</v>
      </c>
      <c r="Z56">
        <v>23</v>
      </c>
      <c r="AA56">
        <v>0</v>
      </c>
      <c r="AB56">
        <v>83</v>
      </c>
    </row>
    <row r="57" spans="1:28" x14ac:dyDescent="0.25">
      <c r="A57" t="s">
        <v>26</v>
      </c>
      <c r="B57" t="s">
        <v>28</v>
      </c>
      <c r="C57" s="2">
        <v>3.6486025561453799</v>
      </c>
      <c r="D57" s="2">
        <v>0.44362822757649001</v>
      </c>
      <c r="E57" s="2">
        <v>6.8194345596364796</v>
      </c>
      <c r="F57" s="2">
        <v>1.1684354948576401</v>
      </c>
      <c r="G57" s="2">
        <v>1.65060012609842</v>
      </c>
      <c r="H57" s="2">
        <v>1.77745425848054</v>
      </c>
      <c r="I57" s="3">
        <f t="shared" si="0"/>
        <v>2.8366301282296211</v>
      </c>
      <c r="J57" s="2">
        <v>0</v>
      </c>
      <c r="K57" s="2">
        <v>0.47856106102709201</v>
      </c>
      <c r="L57" s="2">
        <v>4.2536640471644196</v>
      </c>
      <c r="M57" s="2">
        <v>2.1377998720175899</v>
      </c>
      <c r="N57" s="2">
        <v>6.1365923247858003</v>
      </c>
      <c r="O57" s="2">
        <v>1.7644572398644101</v>
      </c>
      <c r="P57" s="3">
        <f t="shared" si="1"/>
        <v>1.4107492950587415</v>
      </c>
      <c r="Q57">
        <v>18</v>
      </c>
      <c r="R57">
        <v>66</v>
      </c>
      <c r="S57">
        <v>438</v>
      </c>
      <c r="T57">
        <v>534</v>
      </c>
      <c r="U57">
        <v>7</v>
      </c>
      <c r="V57">
        <v>725</v>
      </c>
      <c r="W57">
        <v>0</v>
      </c>
      <c r="X57">
        <v>5</v>
      </c>
      <c r="Y57">
        <v>15</v>
      </c>
      <c r="Z57">
        <v>28</v>
      </c>
      <c r="AA57">
        <v>1</v>
      </c>
      <c r="AB57">
        <v>73</v>
      </c>
    </row>
    <row r="58" spans="1:28" x14ac:dyDescent="0.25">
      <c r="A58" t="s">
        <v>26</v>
      </c>
      <c r="B58" t="s">
        <v>27</v>
      </c>
      <c r="C58" s="2">
        <v>0.20270014200807601</v>
      </c>
      <c r="D58" s="2">
        <v>0.32263871096472002</v>
      </c>
      <c r="E58" s="2">
        <v>0.18683382355168399</v>
      </c>
      <c r="F58" s="2">
        <v>0.12909680561161199</v>
      </c>
      <c r="G58" s="2">
        <v>0</v>
      </c>
      <c r="H58" s="2">
        <v>6.8646509293041905E-2</v>
      </c>
      <c r="I58" s="3">
        <f t="shared" si="0"/>
        <v>1.7216798854857678</v>
      </c>
      <c r="J58" s="2">
        <v>3.0279812149716099</v>
      </c>
      <c r="K58" s="2">
        <v>8.5183868862822401</v>
      </c>
      <c r="L58" s="2">
        <v>0.28357760314429498</v>
      </c>
      <c r="M58" s="2">
        <v>3.1303498125971898</v>
      </c>
      <c r="N58" s="2">
        <v>12.273184649571601</v>
      </c>
      <c r="O58" s="2">
        <v>0.70094876652147897</v>
      </c>
      <c r="P58" s="3">
        <f t="shared" si="1"/>
        <v>-0.59543747462232621</v>
      </c>
      <c r="Q58">
        <v>1</v>
      </c>
      <c r="R58">
        <v>48</v>
      </c>
      <c r="S58">
        <v>12</v>
      </c>
      <c r="T58">
        <v>59</v>
      </c>
      <c r="U58">
        <v>0</v>
      </c>
      <c r="V58">
        <v>28</v>
      </c>
      <c r="W58">
        <v>1</v>
      </c>
      <c r="X58">
        <v>89</v>
      </c>
      <c r="Y58">
        <v>1</v>
      </c>
      <c r="Z58">
        <v>41</v>
      </c>
      <c r="AA58">
        <v>2</v>
      </c>
      <c r="AB58">
        <v>29</v>
      </c>
    </row>
    <row r="59" spans="1:28" x14ac:dyDescent="0.25">
      <c r="A59" t="s">
        <v>26</v>
      </c>
      <c r="B59" t="s">
        <v>81</v>
      </c>
      <c r="C59" s="2">
        <v>4.1666915455611102</v>
      </c>
      <c r="D59" s="2">
        <v>0.37641182945884</v>
      </c>
      <c r="E59" s="2">
        <v>0.76290477950271096</v>
      </c>
      <c r="F59" s="2">
        <v>0.34790495071604099</v>
      </c>
      <c r="G59" s="2">
        <v>1.6372494685860699</v>
      </c>
      <c r="H59" s="2">
        <v>0.86543634930156399</v>
      </c>
      <c r="I59" s="3">
        <f t="shared" si="0"/>
        <v>-0.11847384256693104</v>
      </c>
      <c r="J59" s="2" t="s">
        <v>81</v>
      </c>
      <c r="K59" s="2">
        <v>0.66998548543792902</v>
      </c>
      <c r="L59" s="2">
        <v>0.79874895833438597</v>
      </c>
      <c r="M59" s="2">
        <v>0.68714995886279795</v>
      </c>
      <c r="N59" s="2" t="s">
        <v>81</v>
      </c>
      <c r="O59" s="2">
        <v>0.67677811940004895</v>
      </c>
      <c r="P59" s="3">
        <f t="shared" si="1"/>
        <v>0.18022278711147144</v>
      </c>
      <c r="Q59">
        <v>11</v>
      </c>
      <c r="R59">
        <v>56</v>
      </c>
      <c r="S59">
        <v>49</v>
      </c>
      <c r="T59">
        <v>159</v>
      </c>
      <c r="U59">
        <v>1</v>
      </c>
      <c r="V59">
        <v>353</v>
      </c>
      <c r="W59" t="s">
        <v>81</v>
      </c>
      <c r="X59">
        <v>7</v>
      </c>
      <c r="Y59">
        <v>2</v>
      </c>
      <c r="Z59">
        <v>9</v>
      </c>
      <c r="AA59" t="s">
        <v>81</v>
      </c>
      <c r="AB59">
        <v>28</v>
      </c>
    </row>
    <row r="60" spans="1:28" x14ac:dyDescent="0.25">
      <c r="A60" t="s">
        <v>26</v>
      </c>
      <c r="B60" t="s">
        <v>30</v>
      </c>
      <c r="C60" s="2">
        <v>0.40540028401615302</v>
      </c>
      <c r="D60" s="2">
        <v>6.0494758305885001E-2</v>
      </c>
      <c r="E60" s="2">
        <v>0.17126433825571</v>
      </c>
      <c r="F60" s="2">
        <v>7.6582850786549903E-2</v>
      </c>
      <c r="G60" s="2">
        <v>0.471600036028122</v>
      </c>
      <c r="H60" s="2">
        <v>9.3163119754842594E-2</v>
      </c>
      <c r="I60" s="3">
        <f t="shared" si="0"/>
        <v>0.8383276419509097</v>
      </c>
      <c r="J60" s="2">
        <v>0</v>
      </c>
      <c r="K60" s="2">
        <v>0.28713663661625499</v>
      </c>
      <c r="L60" s="2">
        <v>0.85073280943288498</v>
      </c>
      <c r="M60" s="2">
        <v>0.68714995886279795</v>
      </c>
      <c r="N60" s="2">
        <v>0</v>
      </c>
      <c r="O60" s="2">
        <v>0.67677811940004895</v>
      </c>
      <c r="P60" s="3">
        <f t="shared" si="1"/>
        <v>0.25703356099491453</v>
      </c>
      <c r="Q60">
        <v>2</v>
      </c>
      <c r="R60">
        <v>9</v>
      </c>
      <c r="S60">
        <v>11</v>
      </c>
      <c r="T60">
        <v>35</v>
      </c>
      <c r="U60">
        <v>2</v>
      </c>
      <c r="V60">
        <v>38</v>
      </c>
      <c r="W60">
        <v>0</v>
      </c>
      <c r="X60">
        <v>3</v>
      </c>
      <c r="Y60">
        <v>3</v>
      </c>
      <c r="Z60">
        <v>9</v>
      </c>
      <c r="AA60">
        <v>0</v>
      </c>
      <c r="AB60">
        <v>28</v>
      </c>
    </row>
    <row r="61" spans="1:28" x14ac:dyDescent="0.25">
      <c r="A61" t="s">
        <v>26</v>
      </c>
      <c r="B61" t="s">
        <v>29</v>
      </c>
      <c r="C61" s="2">
        <v>0</v>
      </c>
      <c r="D61" s="2">
        <v>8.0659677741180005E-2</v>
      </c>
      <c r="E61" s="2">
        <v>0.38923713239934199</v>
      </c>
      <c r="F61" s="2">
        <v>0.142225294317878</v>
      </c>
      <c r="G61" s="2">
        <v>0</v>
      </c>
      <c r="H61" s="2">
        <v>0.13238969649372301</v>
      </c>
      <c r="I61" s="3">
        <f t="shared" si="0"/>
        <v>1.940086296049458</v>
      </c>
      <c r="J61" s="2">
        <v>0</v>
      </c>
      <c r="K61" s="2">
        <v>0.86140990984876598</v>
      </c>
      <c r="L61" s="2">
        <v>0.56715520628858995</v>
      </c>
      <c r="M61" s="2">
        <v>1.3742999177255899</v>
      </c>
      <c r="N61" s="2">
        <v>0</v>
      </c>
      <c r="O61" s="2">
        <v>0.55592488379289695</v>
      </c>
      <c r="P61" s="3">
        <f t="shared" si="1"/>
        <v>2.0201150952395074E-2</v>
      </c>
      <c r="Q61">
        <v>0</v>
      </c>
      <c r="R61">
        <v>12</v>
      </c>
      <c r="S61">
        <v>25</v>
      </c>
      <c r="T61">
        <v>65</v>
      </c>
      <c r="U61">
        <v>0</v>
      </c>
      <c r="V61">
        <v>54</v>
      </c>
      <c r="W61">
        <v>0</v>
      </c>
      <c r="X61">
        <v>9</v>
      </c>
      <c r="Y61">
        <v>2</v>
      </c>
      <c r="Z61">
        <v>18</v>
      </c>
      <c r="AA61">
        <v>0</v>
      </c>
      <c r="AB61">
        <v>23</v>
      </c>
    </row>
    <row r="62" spans="1:28" x14ac:dyDescent="0.25">
      <c r="A62" t="s">
        <v>26</v>
      </c>
      <c r="B62" t="s">
        <v>76</v>
      </c>
      <c r="C62" s="2">
        <v>0.20270014200807601</v>
      </c>
      <c r="D62" s="2">
        <v>0.1344327962353</v>
      </c>
      <c r="E62" s="2">
        <v>0.23354227943960501</v>
      </c>
      <c r="F62" s="2">
        <v>0.15535378302414399</v>
      </c>
      <c r="G62" s="2">
        <v>0</v>
      </c>
      <c r="H62" s="2">
        <v>0.25742440984890702</v>
      </c>
      <c r="I62" s="3">
        <f t="shared" si="0"/>
        <v>-9.2773371504743532E-2</v>
      </c>
      <c r="J62" s="2">
        <v>0</v>
      </c>
      <c r="K62" s="2">
        <v>0.47856106102709201</v>
      </c>
      <c r="L62" s="2">
        <v>0.28357760314429498</v>
      </c>
      <c r="M62" s="2">
        <v>0.305399981716799</v>
      </c>
      <c r="N62" s="2">
        <v>0</v>
      </c>
      <c r="O62" s="2">
        <v>0.241706471214303</v>
      </c>
      <c r="P62" s="3">
        <f t="shared" si="1"/>
        <v>0.17323132359525445</v>
      </c>
      <c r="Q62">
        <v>1</v>
      </c>
      <c r="R62">
        <v>20</v>
      </c>
      <c r="S62">
        <v>15</v>
      </c>
      <c r="T62">
        <v>71</v>
      </c>
      <c r="U62">
        <v>0</v>
      </c>
      <c r="V62">
        <v>105</v>
      </c>
      <c r="W62">
        <v>0</v>
      </c>
      <c r="X62">
        <v>5</v>
      </c>
      <c r="Y62">
        <v>1</v>
      </c>
      <c r="Z62">
        <v>4</v>
      </c>
      <c r="AA62">
        <v>0</v>
      </c>
      <c r="AB62">
        <v>10</v>
      </c>
    </row>
    <row r="63" spans="1:28" x14ac:dyDescent="0.25">
      <c r="A63" t="s">
        <v>26</v>
      </c>
      <c r="B63" t="s">
        <v>34</v>
      </c>
      <c r="C63" s="2">
        <v>2.0270014200807598</v>
      </c>
      <c r="D63" s="2">
        <v>2.2315844175059798</v>
      </c>
      <c r="E63" s="2">
        <v>5.8852654418780501</v>
      </c>
      <c r="F63" s="2">
        <v>3.7328669554815401</v>
      </c>
      <c r="G63" s="2">
        <v>4.4802003422671604</v>
      </c>
      <c r="H63" s="2">
        <v>1.647516223033</v>
      </c>
      <c r="I63" s="3">
        <f t="shared" si="0"/>
        <v>2.5722048497000851</v>
      </c>
      <c r="J63" s="2">
        <v>0</v>
      </c>
      <c r="K63" s="2">
        <v>0</v>
      </c>
      <c r="L63" s="2">
        <v>0.28357760314429498</v>
      </c>
      <c r="M63" s="2">
        <v>0</v>
      </c>
      <c r="N63" s="2">
        <v>0</v>
      </c>
      <c r="O63" s="2">
        <v>0</v>
      </c>
      <c r="P63" s="3" t="s">
        <v>85</v>
      </c>
      <c r="Q63">
        <v>10</v>
      </c>
      <c r="R63">
        <v>332</v>
      </c>
      <c r="S63">
        <v>378</v>
      </c>
      <c r="T63">
        <v>1706</v>
      </c>
      <c r="U63">
        <v>19</v>
      </c>
      <c r="V63">
        <v>672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</row>
    <row r="64" spans="1:28" x14ac:dyDescent="0.25">
      <c r="A64" t="s">
        <v>26</v>
      </c>
      <c r="B64" t="s">
        <v>33</v>
      </c>
      <c r="C64" s="2">
        <v>0</v>
      </c>
      <c r="D64" s="2">
        <v>0.208370834164715</v>
      </c>
      <c r="E64" s="2">
        <v>0.57607095595102698</v>
      </c>
      <c r="F64" s="2">
        <v>0.256005529772181</v>
      </c>
      <c r="G64" s="2">
        <v>1.1790000900702999</v>
      </c>
      <c r="H64" s="2">
        <v>0.15935796800170399</v>
      </c>
      <c r="I64" s="3">
        <f t="shared" si="0"/>
        <v>2.614949181234961</v>
      </c>
      <c r="J64" s="2">
        <v>0</v>
      </c>
      <c r="K64" s="2">
        <v>0</v>
      </c>
      <c r="L64" s="2">
        <v>0</v>
      </c>
      <c r="M64" s="2">
        <v>7.6349995429199694E-2</v>
      </c>
      <c r="N64" s="2">
        <v>0</v>
      </c>
      <c r="O64" s="2">
        <v>0</v>
      </c>
      <c r="P64" s="3" t="s">
        <v>85</v>
      </c>
      <c r="Q64">
        <v>0</v>
      </c>
      <c r="R64">
        <v>31</v>
      </c>
      <c r="S64">
        <v>37</v>
      </c>
      <c r="T64">
        <v>117</v>
      </c>
      <c r="U64">
        <v>5</v>
      </c>
      <c r="V64">
        <v>65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</row>
    <row r="65" spans="1:28" x14ac:dyDescent="0.25">
      <c r="A65" t="s">
        <v>26</v>
      </c>
      <c r="B65" t="s">
        <v>84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 t="s">
        <v>85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3" t="s">
        <v>85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</sheetData>
  <autoFilter ref="A7:AB7">
    <sortState ref="A2:AE59">
      <sortCondition descending="1" ref="O1"/>
    </sortState>
  </autoFilter>
  <conditionalFormatting sqref="C8:H6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{0B1F3E44-FA79-4BEC-BBFC-B42AADE7F745}</x14:id>
        </ext>
      </extLst>
    </cfRule>
  </conditionalFormatting>
  <conditionalFormatting sqref="I6:I1048576 K5 I4 P4 P6:P104857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{78E4BB9E-C02E-454B-AA79-BF2774E0232B}</x14:id>
        </ext>
      </extLst>
    </cfRule>
  </conditionalFormatting>
  <conditionalFormatting sqref="I1:I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{6F67FDA8-1ACF-430C-9A78-B01B83D0A5AB}</x14:id>
        </ext>
      </extLst>
    </cfRule>
  </conditionalFormatting>
  <conditionalFormatting sqref="C5:H5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{B9777956-F4EB-4391-8526-5967F2DC5DFC}</x14:id>
        </ext>
      </extLst>
    </cfRule>
  </conditionalFormatting>
  <conditionalFormatting sqref="J5:O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{84E5018D-4CD6-4E8C-A6B7-C40DEAA1BCA5}</x14:id>
        </ext>
      </extLst>
    </cfRule>
  </conditionalFormatting>
  <conditionalFormatting sqref="P1:P104857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{16D3CC53-F632-4736-A2AA-494359FA3949}</x14:id>
        </ext>
      </extLst>
    </cfRule>
  </conditionalFormatting>
  <conditionalFormatting sqref="K5:L5 I4 P4 P6:P1048576 I6:I104857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{E06B143A-068C-4832-9CD7-BCFD9C18622F}</x14:id>
        </ext>
      </extLst>
    </cfRule>
  </conditionalFormatting>
  <conditionalFormatting sqref="L5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{2F27228F-1730-40C5-8B94-7664E91B8FFB}</x14:id>
        </ext>
      </extLst>
    </cfRule>
  </conditionalFormatting>
  <conditionalFormatting sqref="I8:P6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{42073120-2C23-427E-BD4A-18FC06773CEC}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1F3E44-FA79-4BEC-BBFC-B42AADE7F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C8:H65</xm:sqref>
        </x14:conditionalFormatting>
        <x14:conditionalFormatting xmlns:xm="http://schemas.microsoft.com/office/excel/2006/main">
          <x14:cfRule type="dataBar" id="{78E4BB9E-C02E-454B-AA79-BF2774E023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I6:I1048576 K5 I4 P4 P6:P1048576</xm:sqref>
        </x14:conditionalFormatting>
        <x14:conditionalFormatting xmlns:xm="http://schemas.microsoft.com/office/excel/2006/main">
          <x14:cfRule type="dataBar" id="{6F67FDA8-1ACF-430C-9A78-B01B83D0A5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B9777956-F4EB-4391-8526-5967F2DC5D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C5:H5</xm:sqref>
        </x14:conditionalFormatting>
        <x14:conditionalFormatting xmlns:xm="http://schemas.microsoft.com/office/excel/2006/main">
          <x14:cfRule type="dataBar" id="{84E5018D-4CD6-4E8C-A6B7-C40DEAA1BC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J5:O5</xm:sqref>
        </x14:conditionalFormatting>
        <x14:conditionalFormatting xmlns:xm="http://schemas.microsoft.com/office/excel/2006/main">
          <x14:cfRule type="dataBar" id="{16D3CC53-F632-4736-A2AA-494359FA394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E06B143A-068C-4832-9CD7-BCFD9C186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K5:L5 I4 P4 P6:P1048576 I6:I1048576</xm:sqref>
        </x14:conditionalFormatting>
        <x14:conditionalFormatting xmlns:xm="http://schemas.microsoft.com/office/excel/2006/main">
          <x14:cfRule type="dataBar" id="{2F27228F-1730-40C5-8B94-7664E91B8FFB}">
            <x14:dataBar minLength="0" maxLength="100" gradient="0">
              <x14:cfvo type="autoMin"/>
              <x14:cfvo type="autoMax"/>
              <x14:negativeFillColor rgb="FFFFC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2073120-2C23-427E-BD4A-18FC06773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I8:P65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raceAGeExplore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SamFam</dc:creator>
  <cp:lastModifiedBy>SamFam</cp:lastModifiedBy>
  <dcterms:created xsi:type="dcterms:W3CDTF">2020-01-24T22:35:00Z</dcterms:created>
  <dcterms:modified xsi:type="dcterms:W3CDTF">2020-01-29T06:35:26Z</dcterms:modified>
</cp:coreProperties>
</file>