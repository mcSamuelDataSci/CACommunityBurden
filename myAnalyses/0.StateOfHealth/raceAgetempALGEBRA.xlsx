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raceAgetemp" sheetId="1" r:id="rId1"/>
  </sheet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D10" i="1"/>
  <c r="K4" i="1"/>
  <c r="L4" i="1"/>
  <c r="K5" i="1"/>
  <c r="L5" i="1"/>
  <c r="K6" i="1"/>
  <c r="L6" i="1"/>
  <c r="K7" i="1"/>
  <c r="L7" i="1"/>
  <c r="K3" i="1"/>
  <c r="L3" i="1"/>
  <c r="K8" i="1"/>
  <c r="L8" i="1"/>
  <c r="K9" i="1"/>
  <c r="L9" i="1"/>
  <c r="N9" i="1" s="1"/>
  <c r="L2" i="1"/>
  <c r="I10" i="1"/>
  <c r="H10" i="1"/>
  <c r="F10" i="1"/>
  <c r="K2" i="1"/>
  <c r="P2" i="1" s="1"/>
  <c r="K10" i="1" l="1"/>
  <c r="N7" i="1"/>
  <c r="N2" i="1"/>
  <c r="N8" i="1"/>
  <c r="L10" i="1"/>
  <c r="N10" i="1" s="1"/>
  <c r="N3" i="1"/>
  <c r="N5" i="1"/>
  <c r="N6" i="1"/>
  <c r="N4" i="1"/>
</calcChain>
</file>

<file path=xl/sharedStrings.xml><?xml version="1.0" encoding="utf-8"?>
<sst xmlns="http://schemas.openxmlformats.org/spreadsheetml/2006/main" count="30" uniqueCount="22">
  <si>
    <t>sex</t>
  </si>
  <si>
    <t>ageG</t>
  </si>
  <si>
    <t>rate_Asian-NH</t>
  </si>
  <si>
    <t>Ndeaths_NHPI-NH</t>
  </si>
  <si>
    <t>Male</t>
  </si>
  <si>
    <t xml:space="preserve"> 0 - 4</t>
  </si>
  <si>
    <t>15 - 24</t>
  </si>
  <si>
    <t>25 - 34</t>
  </si>
  <si>
    <t>35 - 44</t>
  </si>
  <si>
    <t>45 - 54</t>
  </si>
  <si>
    <t xml:space="preserve"> 5 - 14</t>
  </si>
  <si>
    <t>55 - 64</t>
  </si>
  <si>
    <t>65 - 74</t>
  </si>
  <si>
    <t>black rate</t>
  </si>
  <si>
    <t>white rate</t>
  </si>
  <si>
    <t>TOTAL</t>
  </si>
  <si>
    <t>Percent Diff</t>
  </si>
  <si>
    <t>Deaths - White</t>
  </si>
  <si>
    <t>Deaths - Black</t>
  </si>
  <si>
    <t>Pop - Black</t>
  </si>
  <si>
    <t>Pop - White</t>
  </si>
  <si>
    <t>Rate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</si>
</sst>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9" fontId="0" fillId="33" borderId="0" xfId="2" applyFont="1" applyFill="1"/>
    <xf numFmtId="164" fontId="0" fillId="33" borderId="0" xfId="0" applyNumberFormat="1" applyFill="1"/>
    <xf numFmtId="0" fontId="0" fillId="0" borderId="10" xfId="0" applyBorder="1"/>
    <xf numFmtId="164" fontId="0" fillId="0" borderId="10" xfId="0" applyNumberFormat="1" applyBorder="1"/>
    <xf numFmtId="166" fontId="0" fillId="0" borderId="10" xfId="1" applyNumberFormat="1" applyFont="1" applyBorder="1"/>
    <xf numFmtId="165" fontId="0" fillId="0" borderId="10" xfId="1" applyNumberFormat="1" applyFont="1" applyBorder="1"/>
    <xf numFmtId="9" fontId="0" fillId="0" borderId="10" xfId="2" applyFont="1" applyBorder="1"/>
    <xf numFmtId="0" fontId="16" fillId="0" borderId="0" xfId="0" applyFont="1"/>
    <xf numFmtId="164" fontId="16" fillId="0" borderId="0" xfId="0" applyNumberFormat="1" applyFont="1"/>
    <xf numFmtId="166" fontId="16" fillId="0" borderId="0" xfId="1" applyNumberFormat="1" applyFont="1"/>
    <xf numFmtId="0" fontId="0" fillId="0" borderId="0" xfId="0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showGridLines="0" tabSelected="1" workbookViewId="0">
      <selection activeCell="A11" sqref="A11"/>
    </sheetView>
  </sheetViews>
  <sheetFormatPr defaultRowHeight="15" x14ac:dyDescent="0.25"/>
  <cols>
    <col min="1" max="1" width="7.5703125" bestFit="1" customWidth="1"/>
    <col min="2" max="2" width="6.5703125" bestFit="1" customWidth="1"/>
    <col min="3" max="3" width="14" style="1" hidden="1" customWidth="1"/>
    <col min="4" max="4" width="17.7109375" style="3" bestFit="1" customWidth="1"/>
    <col min="5" max="5" width="17.5703125" style="3" hidden="1" customWidth="1"/>
    <col min="6" max="6" width="18.5703125" style="3" bestFit="1" customWidth="1"/>
    <col min="7" max="7" width="3" style="3" customWidth="1"/>
    <col min="8" max="8" width="13.5703125" style="3" bestFit="1" customWidth="1"/>
    <col min="9" max="9" width="14.42578125" style="3" bestFit="1" customWidth="1"/>
    <col min="10" max="10" width="5.85546875" customWidth="1"/>
    <col min="11" max="12" width="10.5703125" bestFit="1" customWidth="1"/>
    <col min="13" max="13" width="4.85546875" customWidth="1"/>
    <col min="14" max="14" width="12.28515625" customWidth="1"/>
  </cols>
  <sheetData>
    <row r="1" spans="1:16" x14ac:dyDescent="0.25">
      <c r="A1" s="11" t="s">
        <v>0</v>
      </c>
      <c r="B1" s="11" t="s">
        <v>1</v>
      </c>
      <c r="C1" s="12" t="s">
        <v>2</v>
      </c>
      <c r="D1" s="13" t="s">
        <v>18</v>
      </c>
      <c r="E1" s="13" t="s">
        <v>3</v>
      </c>
      <c r="F1" s="13" t="s">
        <v>17</v>
      </c>
      <c r="G1" s="13"/>
      <c r="H1" s="13" t="s">
        <v>19</v>
      </c>
      <c r="I1" s="13" t="s">
        <v>20</v>
      </c>
      <c r="J1" s="11"/>
      <c r="K1" s="13" t="s">
        <v>13</v>
      </c>
      <c r="L1" s="13" t="s">
        <v>14</v>
      </c>
      <c r="M1" s="11"/>
      <c r="N1" s="13" t="s">
        <v>16</v>
      </c>
      <c r="O1" s="11"/>
      <c r="P1" s="13" t="s">
        <v>21</v>
      </c>
    </row>
    <row r="2" spans="1:16" x14ac:dyDescent="0.25">
      <c r="A2" s="6" t="s">
        <v>4</v>
      </c>
      <c r="B2" s="6" t="s">
        <v>5</v>
      </c>
      <c r="C2" s="7">
        <v>77.809756892523595</v>
      </c>
      <c r="D2" s="8">
        <v>397</v>
      </c>
      <c r="E2" s="8">
        <v>17</v>
      </c>
      <c r="F2" s="8">
        <v>893</v>
      </c>
      <c r="G2" s="8"/>
      <c r="H2" s="8">
        <v>193437.44930499999</v>
      </c>
      <c r="I2" s="8">
        <v>1059951.477071</v>
      </c>
      <c r="J2" s="6"/>
      <c r="K2" s="9">
        <f>D2*100000/H2</f>
        <v>205.23430257500729</v>
      </c>
      <c r="L2" s="9">
        <f>F2*100000/I2</f>
        <v>84.249139636812174</v>
      </c>
      <c r="M2" s="6"/>
      <c r="N2" s="10">
        <f>(K2-L2)/L2</f>
        <v>1.4360403377381359</v>
      </c>
      <c r="O2" s="6"/>
      <c r="P2" s="7">
        <f>K2/L2</f>
        <v>2.4360403377381359</v>
      </c>
    </row>
    <row r="3" spans="1:16" x14ac:dyDescent="0.25">
      <c r="A3" s="6" t="s">
        <v>4</v>
      </c>
      <c r="B3" s="6" t="s">
        <v>10</v>
      </c>
      <c r="C3" s="7">
        <v>8.2769629686857105</v>
      </c>
      <c r="D3" s="8">
        <v>86</v>
      </c>
      <c r="E3" s="8">
        <v>6</v>
      </c>
      <c r="F3" s="8">
        <v>203</v>
      </c>
      <c r="G3" s="8"/>
      <c r="H3" s="8">
        <v>403418.24855999998</v>
      </c>
      <c r="I3" s="8">
        <v>2065982.56608</v>
      </c>
      <c r="J3" s="6"/>
      <c r="K3" s="9">
        <f>D3*100000/H3</f>
        <v>21.317825930526617</v>
      </c>
      <c r="L3" s="9">
        <f>F3*100000/I3</f>
        <v>9.825833157206775</v>
      </c>
      <c r="M3" s="6"/>
      <c r="N3" s="10">
        <f>(K3-L3)/L3</f>
        <v>1.1695692965121252</v>
      </c>
      <c r="O3" s="6"/>
      <c r="P3" s="7">
        <f t="shared" ref="P3:P10" si="0">K3/L3</f>
        <v>2.1695692965121252</v>
      </c>
    </row>
    <row r="4" spans="1:16" x14ac:dyDescent="0.25">
      <c r="A4" s="6" t="s">
        <v>4</v>
      </c>
      <c r="B4" s="6" t="s">
        <v>6</v>
      </c>
      <c r="C4" s="7">
        <v>46.404124111707198</v>
      </c>
      <c r="D4" s="8">
        <v>766</v>
      </c>
      <c r="E4" s="8">
        <v>36</v>
      </c>
      <c r="F4" s="8">
        <v>1835</v>
      </c>
      <c r="G4" s="8"/>
      <c r="H4" s="8">
        <v>508699.06822399999</v>
      </c>
      <c r="I4" s="8">
        <v>2458699.996121</v>
      </c>
      <c r="J4" s="6"/>
      <c r="K4" s="9">
        <f t="shared" ref="K4:K10" si="1">D4*100000/H4</f>
        <v>150.5801853882501</v>
      </c>
      <c r="L4" s="9">
        <f t="shared" ref="L4:L10" si="2">F4*100000/I4</f>
        <v>74.632936222191063</v>
      </c>
      <c r="M4" s="6"/>
      <c r="N4" s="10">
        <f t="shared" ref="N4:N10" si="3">(K4-L4)/L4</f>
        <v>1.0176103609263758</v>
      </c>
      <c r="O4" s="6"/>
      <c r="P4" s="7">
        <f t="shared" si="0"/>
        <v>2.0176103609263758</v>
      </c>
    </row>
    <row r="5" spans="1:16" x14ac:dyDescent="0.25">
      <c r="A5" s="6" t="s">
        <v>4</v>
      </c>
      <c r="B5" s="6" t="s">
        <v>7</v>
      </c>
      <c r="C5" s="7">
        <v>66.337949048737997</v>
      </c>
      <c r="D5" s="8">
        <v>1221</v>
      </c>
      <c r="E5" s="8">
        <v>53</v>
      </c>
      <c r="F5" s="8">
        <v>4014</v>
      </c>
      <c r="G5" s="8"/>
      <c r="H5" s="8">
        <v>529920.42842400004</v>
      </c>
      <c r="I5" s="8">
        <v>2837030.4738130001</v>
      </c>
      <c r="J5" s="6"/>
      <c r="K5" s="9">
        <f t="shared" si="1"/>
        <v>230.41195140019272</v>
      </c>
      <c r="L5" s="9">
        <f t="shared" si="2"/>
        <v>141.485967001445</v>
      </c>
      <c r="M5" s="6"/>
      <c r="N5" s="10">
        <f t="shared" si="3"/>
        <v>0.62851451831855176</v>
      </c>
      <c r="O5" s="6"/>
      <c r="P5" s="7">
        <f t="shared" si="0"/>
        <v>1.6285145183185517</v>
      </c>
    </row>
    <row r="6" spans="1:16" x14ac:dyDescent="0.25">
      <c r="A6" s="6" t="s">
        <v>4</v>
      </c>
      <c r="B6" s="6" t="s">
        <v>8</v>
      </c>
      <c r="C6" s="7">
        <v>97.572730652230504</v>
      </c>
      <c r="D6" s="8">
        <v>1475</v>
      </c>
      <c r="E6" s="8">
        <v>100</v>
      </c>
      <c r="F6" s="8">
        <v>5130</v>
      </c>
      <c r="G6" s="8"/>
      <c r="H6" s="8">
        <v>433288.40244500001</v>
      </c>
      <c r="I6" s="8">
        <v>2772427.4335150002</v>
      </c>
      <c r="J6" s="6"/>
      <c r="K6" s="9">
        <f t="shared" si="1"/>
        <v>340.41991239016164</v>
      </c>
      <c r="L6" s="9">
        <f t="shared" si="2"/>
        <v>185.03640304467663</v>
      </c>
      <c r="M6" s="6"/>
      <c r="N6" s="10">
        <f t="shared" si="3"/>
        <v>0.83974562188159274</v>
      </c>
      <c r="O6" s="6"/>
      <c r="P6" s="7">
        <f t="shared" si="0"/>
        <v>1.8397456218815926</v>
      </c>
    </row>
    <row r="7" spans="1:16" x14ac:dyDescent="0.25">
      <c r="A7" s="6" t="s">
        <v>4</v>
      </c>
      <c r="B7" s="6" t="s">
        <v>9</v>
      </c>
      <c r="C7" s="7">
        <v>221.39683154812201</v>
      </c>
      <c r="D7" s="8">
        <v>3121</v>
      </c>
      <c r="E7" s="8">
        <v>208</v>
      </c>
      <c r="F7" s="8">
        <v>13137</v>
      </c>
      <c r="G7" s="8"/>
      <c r="H7" s="8">
        <v>469452.64696099999</v>
      </c>
      <c r="I7" s="8">
        <v>3170865.3819300001</v>
      </c>
      <c r="J7" s="6"/>
      <c r="K7" s="9">
        <f t="shared" si="1"/>
        <v>664.81678614526561</v>
      </c>
      <c r="L7" s="9">
        <f t="shared" si="2"/>
        <v>414.30330265247483</v>
      </c>
      <c r="M7" s="6"/>
      <c r="N7" s="10">
        <f t="shared" si="3"/>
        <v>0.60466204804291912</v>
      </c>
      <c r="O7" s="6"/>
      <c r="P7" s="7">
        <f t="shared" si="0"/>
        <v>1.604662048042919</v>
      </c>
    </row>
    <row r="8" spans="1:16" x14ac:dyDescent="0.25">
      <c r="A8" s="6" t="s">
        <v>4</v>
      </c>
      <c r="B8" s="6" t="s">
        <v>11</v>
      </c>
      <c r="C8" s="7">
        <v>525.16715632700004</v>
      </c>
      <c r="D8" s="8">
        <v>6823</v>
      </c>
      <c r="E8" s="8">
        <v>311</v>
      </c>
      <c r="F8" s="8">
        <v>33946</v>
      </c>
      <c r="G8" s="8"/>
      <c r="H8" s="8">
        <v>438599.85577099997</v>
      </c>
      <c r="I8" s="8">
        <v>3619553.4104200001</v>
      </c>
      <c r="J8" s="6"/>
      <c r="K8" s="9">
        <f t="shared" si="1"/>
        <v>1555.6320665008147</v>
      </c>
      <c r="L8" s="9">
        <f t="shared" si="2"/>
        <v>937.85050670273233</v>
      </c>
      <c r="M8" s="6"/>
      <c r="N8" s="10">
        <f t="shared" si="3"/>
        <v>0.65872071868901683</v>
      </c>
      <c r="O8" s="6"/>
      <c r="P8" s="7">
        <f t="shared" si="0"/>
        <v>1.6587207186890167</v>
      </c>
    </row>
    <row r="9" spans="1:16" x14ac:dyDescent="0.25">
      <c r="A9" s="6" t="s">
        <v>4</v>
      </c>
      <c r="B9" s="6" t="s">
        <v>12</v>
      </c>
      <c r="C9" s="7">
        <v>1164.5548077035701</v>
      </c>
      <c r="D9" s="8">
        <v>7299</v>
      </c>
      <c r="E9" s="8">
        <v>356</v>
      </c>
      <c r="F9" s="8">
        <v>50268</v>
      </c>
      <c r="G9" s="8"/>
      <c r="H9" s="8">
        <v>236226.2019023</v>
      </c>
      <c r="I9" s="8">
        <v>2687700.37209399</v>
      </c>
      <c r="J9" s="6"/>
      <c r="K9" s="9">
        <f t="shared" si="1"/>
        <v>3089.8350569166619</v>
      </c>
      <c r="L9" s="9">
        <f t="shared" si="2"/>
        <v>1870.2977654029253</v>
      </c>
      <c r="M9" s="6"/>
      <c r="N9" s="10">
        <f t="shared" si="3"/>
        <v>0.6520551508283533</v>
      </c>
      <c r="O9" s="6"/>
      <c r="P9" s="7">
        <f t="shared" si="0"/>
        <v>1.6520551508283534</v>
      </c>
    </row>
    <row r="10" spans="1:16" x14ac:dyDescent="0.25">
      <c r="A10" t="s">
        <v>4</v>
      </c>
      <c r="B10" s="14" t="s">
        <v>15</v>
      </c>
      <c r="D10" s="3">
        <f>SUM(D2:D9)</f>
        <v>21188</v>
      </c>
      <c r="F10" s="3">
        <f>SUM(F2:F9)</f>
        <v>109426</v>
      </c>
      <c r="H10" s="3">
        <f>SUM(H2:H9)</f>
        <v>3213042.3015923002</v>
      </c>
      <c r="I10" s="3">
        <f>SUM(I2:I9)</f>
        <v>20672211.111043993</v>
      </c>
      <c r="K10" s="2">
        <f t="shared" si="1"/>
        <v>659.43731862788673</v>
      </c>
      <c r="L10" s="2">
        <f t="shared" si="2"/>
        <v>529.33863442183929</v>
      </c>
      <c r="N10" s="4">
        <f t="shared" si="3"/>
        <v>0.24577590930642237</v>
      </c>
      <c r="P10" s="5">
        <f t="shared" si="0"/>
        <v>1.2457759093064225</v>
      </c>
    </row>
  </sheetData>
  <conditionalFormatting sqref="N2:N10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{F44CC221-50E7-4B6B-A6E0-44C8DA4DB05B}</x14:id>
        </ext>
      </extLst>
    </cfRule>
  </conditionalFormatting>
  <conditionalFormatting sqref="H2:H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{6D44C2E0-3B3D-4E7F-B905-F0B6FB4FA2E4}</x14:id>
        </ext>
      </extLst>
    </cfRule>
  </conditionalFormatting>
  <conditionalFormatting sqref="I2:I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{A2BF3F45-9009-4159-8B8B-611FFEE44609}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4CC221-50E7-4B6B-A6E0-44C8DA4DB05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N2:N10</xm:sqref>
        </x14:conditionalFormatting>
        <x14:conditionalFormatting xmlns:xm="http://schemas.microsoft.com/office/excel/2006/main">
          <x14:cfRule type="dataBar" id="{6D44C2E0-3B3D-4E7F-B905-F0B6FB4FA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H2:H9</xm:sqref>
        </x14:conditionalFormatting>
        <x14:conditionalFormatting xmlns:xm="http://schemas.microsoft.com/office/excel/2006/main">
          <x14:cfRule type="dataBar" id="{A2BF3F45-9009-4159-8B8B-611FFEE446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I2:I9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raceAgetemp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SamFam</dc:creator>
  <cp:lastModifiedBy>SamFam</cp:lastModifiedBy>
  <dcterms:created xsi:type="dcterms:W3CDTF">2020-01-29T23:07:51Z</dcterms:created>
  <dcterms:modified xsi:type="dcterms:W3CDTF">2020-01-29T23:15:39Z</dcterms:modified>
</cp:coreProperties>
</file>