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7635" windowHeight="9540"/>
  </bookViews>
  <sheets>
    <sheet name="raceAgetemp" sheetId="1" r:id="rId1"/>
  </sheets>
  <calcPr calcId="0"/>
</workbook>
</file>

<file path=xl/calcChain.xml><?xml version="1.0" encoding="utf-8"?>
<calcChain xmlns="http://schemas.openxmlformats.org/spreadsheetml/2006/main">
  <c r="H13" i="1" l="1"/>
  <c r="G13" i="1"/>
  <c r="Q3" i="1"/>
  <c r="Q4" i="1"/>
  <c r="Q5" i="1"/>
  <c r="Q6" i="1"/>
  <c r="Q7" i="1"/>
  <c r="Q8" i="1"/>
  <c r="Q9" i="1"/>
  <c r="Q10" i="1"/>
  <c r="Q11" i="1"/>
  <c r="Q2" i="1"/>
  <c r="K2" i="1"/>
  <c r="P13" i="1"/>
  <c r="Q13" i="1" l="1"/>
  <c r="Q15" i="1" s="1"/>
  <c r="N15" i="1"/>
  <c r="E13" i="1"/>
  <c r="L13" i="1" s="1"/>
  <c r="D13" i="1"/>
  <c r="K13" i="1" s="1"/>
  <c r="L2" i="1"/>
  <c r="L4" i="1"/>
  <c r="L5" i="1"/>
  <c r="N5" i="1" s="1"/>
  <c r="L6" i="1"/>
  <c r="L7" i="1"/>
  <c r="L3" i="1"/>
  <c r="L8" i="1"/>
  <c r="L9" i="1"/>
  <c r="L10" i="1"/>
  <c r="L11" i="1"/>
  <c r="K4" i="1"/>
  <c r="K5" i="1"/>
  <c r="K6" i="1"/>
  <c r="K7" i="1"/>
  <c r="N7" i="1" s="1"/>
  <c r="K3" i="1"/>
  <c r="N3" i="1" s="1"/>
  <c r="K8" i="1"/>
  <c r="K9" i="1"/>
  <c r="K10" i="1"/>
  <c r="K11" i="1"/>
  <c r="N4" i="1" l="1"/>
  <c r="N6" i="1"/>
  <c r="N11" i="1"/>
  <c r="N9" i="1"/>
  <c r="N10" i="1"/>
  <c r="N8" i="1"/>
  <c r="N13" i="1"/>
  <c r="N2" i="1"/>
</calcChain>
</file>

<file path=xl/sharedStrings.xml><?xml version="1.0" encoding="utf-8"?>
<sst xmlns="http://schemas.openxmlformats.org/spreadsheetml/2006/main" count="35" uniqueCount="24">
  <si>
    <t>sex</t>
  </si>
  <si>
    <t>ageG</t>
  </si>
  <si>
    <t>Ndeaths_Black-NH</t>
  </si>
  <si>
    <t>Ndeaths_White-NH</t>
  </si>
  <si>
    <t>pop_Black-NH</t>
  </si>
  <si>
    <t>pop_White-NH</t>
  </si>
  <si>
    <t>Total</t>
  </si>
  <si>
    <t xml:space="preserve"> 0 - 4</t>
  </si>
  <si>
    <t>15 - 24</t>
  </si>
  <si>
    <t>25 - 34</t>
  </si>
  <si>
    <t>35 - 44</t>
  </si>
  <si>
    <t>45 - 54</t>
  </si>
  <si>
    <t xml:space="preserve"> 5 - 14</t>
  </si>
  <si>
    <t>55 - 64</t>
  </si>
  <si>
    <t>65 - 74</t>
  </si>
  <si>
    <t>75 - 84</t>
  </si>
  <si>
    <t>85+</t>
  </si>
  <si>
    <t xml:space="preserve"> </t>
  </si>
  <si>
    <t>White Rate</t>
  </si>
  <si>
    <t>Rate Ratio</t>
  </si>
  <si>
    <t>Standard Pop</t>
  </si>
  <si>
    <t>Black rate</t>
  </si>
  <si>
    <t>CRUDE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</si>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</sst>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43" fontId="0" fillId="0" borderId="0" xfId="0" applyNumberFormat="1"/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N24" sqref="N24"/>
    </sheetView>
  </sheetViews>
  <sheetFormatPr defaultRowHeight="15" x14ac:dyDescent="0.25"/>
  <cols>
    <col min="1" max="1" width="5.42578125" bestFit="1" customWidth="1"/>
    <col min="2" max="2" width="6.5703125" bestFit="1" customWidth="1"/>
    <col min="3" max="3" width="1.7109375" customWidth="1"/>
    <col min="4" max="4" width="17.7109375" bestFit="1" customWidth="1"/>
    <col min="5" max="5" width="18.5703125" bestFit="1" customWidth="1"/>
    <col min="6" max="6" width="2.7109375" customWidth="1"/>
    <col min="7" max="7" width="13.5703125" bestFit="1" customWidth="1"/>
    <col min="8" max="8" width="14.42578125" bestFit="1" customWidth="1"/>
    <col min="9" max="9" width="1.7109375" customWidth="1"/>
    <col min="10" max="10" width="12.5703125" customWidth="1"/>
    <col min="11" max="12" width="10.5703125" bestFit="1" customWidth="1"/>
    <col min="13" max="13" width="3.140625" customWidth="1"/>
    <col min="14" max="14" width="9.140625" style="1"/>
    <col min="16" max="16" width="13.28515625" bestFit="1" customWidth="1"/>
    <col min="17" max="17" width="14.28515625" bestFit="1" customWidth="1"/>
    <col min="18" max="18" width="18" bestFit="1" customWidth="1"/>
  </cols>
  <sheetData>
    <row r="1" spans="1:17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K1" t="s">
        <v>21</v>
      </c>
      <c r="L1" t="s">
        <v>18</v>
      </c>
      <c r="N1" s="1" t="s">
        <v>19</v>
      </c>
      <c r="P1" t="s">
        <v>20</v>
      </c>
    </row>
    <row r="2" spans="1:17" x14ac:dyDescent="0.25">
      <c r="A2" t="s">
        <v>6</v>
      </c>
      <c r="B2" t="s">
        <v>7</v>
      </c>
      <c r="D2" s="4">
        <v>726</v>
      </c>
      <c r="E2" s="4">
        <v>1531</v>
      </c>
      <c r="G2" s="2">
        <v>380360.82541400002</v>
      </c>
      <c r="H2" s="2">
        <v>2077497.528803</v>
      </c>
      <c r="K2" s="3">
        <f>D2*100000/G2</f>
        <v>190.8713914504188</v>
      </c>
      <c r="L2" s="3">
        <f>E2*100000/H2</f>
        <v>73.694431823566234</v>
      </c>
      <c r="N2" s="1">
        <f>K2/L2</f>
        <v>2.5900381715051277</v>
      </c>
      <c r="P2">
        <v>18987</v>
      </c>
      <c r="Q2" s="5">
        <f>P2*(D2/G2)</f>
        <v>36.240751094691014</v>
      </c>
    </row>
    <row r="3" spans="1:17" x14ac:dyDescent="0.25">
      <c r="A3" t="s">
        <v>6</v>
      </c>
      <c r="B3" t="s">
        <v>12</v>
      </c>
      <c r="D3" s="4">
        <v>143</v>
      </c>
      <c r="E3" s="4">
        <v>371</v>
      </c>
      <c r="G3" s="2">
        <v>793611.85530399997</v>
      </c>
      <c r="H3" s="2">
        <v>4031885.841428</v>
      </c>
      <c r="K3" s="3">
        <f>D3*100000/G3</f>
        <v>18.018884048200437</v>
      </c>
      <c r="L3" s="3">
        <f>E3*100000/H3</f>
        <v>9.2016494164576947</v>
      </c>
      <c r="N3" s="1">
        <f>K3/L3</f>
        <v>1.9582232741852343</v>
      </c>
      <c r="P3">
        <v>39977</v>
      </c>
      <c r="Q3" s="5">
        <f>P3*(D3/G3)</f>
        <v>7.2034092759490891</v>
      </c>
    </row>
    <row r="4" spans="1:17" x14ac:dyDescent="0.25">
      <c r="A4" t="s">
        <v>6</v>
      </c>
      <c r="B4" t="s">
        <v>8</v>
      </c>
      <c r="D4" s="4">
        <v>980</v>
      </c>
      <c r="E4" s="4">
        <v>2500</v>
      </c>
      <c r="G4" s="2">
        <v>978137.61022999999</v>
      </c>
      <c r="H4" s="2">
        <v>4729163.6051829997</v>
      </c>
      <c r="K4" s="3">
        <f>D4*100000/G4</f>
        <v>100.19040161123772</v>
      </c>
      <c r="L4" s="3">
        <f>E4*100000/H4</f>
        <v>52.863470345159691</v>
      </c>
      <c r="N4" s="1">
        <f t="shared" ref="N4:N15" si="0">K4/L4</f>
        <v>1.8952672035541345</v>
      </c>
      <c r="P4">
        <v>38077</v>
      </c>
      <c r="Q4" s="5">
        <f>P4*(D4/G4)</f>
        <v>38.149499221510986</v>
      </c>
    </row>
    <row r="5" spans="1:17" x14ac:dyDescent="0.25">
      <c r="A5" t="s">
        <v>6</v>
      </c>
      <c r="B5" t="s">
        <v>9</v>
      </c>
      <c r="D5" s="4">
        <v>1723</v>
      </c>
      <c r="E5" s="4">
        <v>5633</v>
      </c>
      <c r="G5" s="2">
        <v>1030680.2138499999</v>
      </c>
      <c r="H5" s="2">
        <v>5496506.0594119998</v>
      </c>
      <c r="K5" s="3">
        <f>D5*100000/G5</f>
        <v>167.17115326818109</v>
      </c>
      <c r="L5" s="3">
        <f>E5*100000/H5</f>
        <v>102.48328554744833</v>
      </c>
      <c r="N5" s="1">
        <f t="shared" si="0"/>
        <v>1.6312040775740271</v>
      </c>
      <c r="P5">
        <v>37233</v>
      </c>
      <c r="Q5" s="5">
        <f>P5*(D5/G5)</f>
        <v>62.242835496341868</v>
      </c>
    </row>
    <row r="6" spans="1:17" x14ac:dyDescent="0.25">
      <c r="A6" t="s">
        <v>6</v>
      </c>
      <c r="B6" t="s">
        <v>10</v>
      </c>
      <c r="D6" s="4">
        <v>2373</v>
      </c>
      <c r="E6" s="4">
        <v>7949</v>
      </c>
      <c r="G6" s="2">
        <v>860806.62858000002</v>
      </c>
      <c r="H6" s="2">
        <v>5356504.9367119996</v>
      </c>
      <c r="K6" s="3">
        <f>D6*100000/G6</f>
        <v>275.67166901520471</v>
      </c>
      <c r="L6" s="3">
        <f>E6*100000/H6</f>
        <v>148.39900446128144</v>
      </c>
      <c r="N6" s="1">
        <f t="shared" si="0"/>
        <v>1.857638263921978</v>
      </c>
      <c r="P6">
        <v>44659</v>
      </c>
      <c r="Q6" s="5">
        <f>P6*(D6/G6)</f>
        <v>123.11221066550026</v>
      </c>
    </row>
    <row r="7" spans="1:17" x14ac:dyDescent="0.25">
      <c r="A7" t="s">
        <v>6</v>
      </c>
      <c r="B7" t="s">
        <v>11</v>
      </c>
      <c r="D7" s="4">
        <v>5341</v>
      </c>
      <c r="E7" s="4">
        <v>21313</v>
      </c>
      <c r="G7" s="2">
        <v>946893.53672800004</v>
      </c>
      <c r="H7" s="2">
        <v>6232040.5819429997</v>
      </c>
      <c r="K7" s="3">
        <f>D7*100000/G7</f>
        <v>564.05496424190176</v>
      </c>
      <c r="L7" s="3">
        <f>E7*100000/H7</f>
        <v>341.99071266886909</v>
      </c>
      <c r="N7" s="1">
        <f t="shared" si="0"/>
        <v>1.6493283102341008</v>
      </c>
      <c r="P7">
        <v>37030</v>
      </c>
      <c r="Q7" s="5">
        <f>P7*(D7/G7)</f>
        <v>208.86955325877625</v>
      </c>
    </row>
    <row r="8" spans="1:17" x14ac:dyDescent="0.25">
      <c r="A8" t="s">
        <v>6</v>
      </c>
      <c r="B8" t="s">
        <v>13</v>
      </c>
      <c r="D8" s="4">
        <v>11576</v>
      </c>
      <c r="E8" s="4">
        <v>54651</v>
      </c>
      <c r="G8" s="2">
        <v>906024.08506099996</v>
      </c>
      <c r="H8" s="2">
        <v>7277768.1993800001</v>
      </c>
      <c r="K8" s="3">
        <f>D8*100000/G8</f>
        <v>1277.670228735765</v>
      </c>
      <c r="L8" s="3">
        <f>E8*100000/H8</f>
        <v>750.93075930414727</v>
      </c>
      <c r="N8" s="1">
        <f t="shared" si="0"/>
        <v>1.7014487859303071</v>
      </c>
      <c r="P8">
        <v>23961</v>
      </c>
      <c r="Q8" s="5">
        <f>P8*(D8/G8)</f>
        <v>306.14256350737662</v>
      </c>
    </row>
    <row r="9" spans="1:17" x14ac:dyDescent="0.25">
      <c r="A9" t="s">
        <v>6</v>
      </c>
      <c r="B9" t="s">
        <v>14</v>
      </c>
      <c r="D9" s="4">
        <v>12895</v>
      </c>
      <c r="E9" s="4">
        <v>86228</v>
      </c>
      <c r="G9" s="2">
        <v>526305.14536369999</v>
      </c>
      <c r="H9" s="2">
        <v>5587305.9536739998</v>
      </c>
      <c r="K9" s="3">
        <f>D9*100000/G9</f>
        <v>2450.0995503452637</v>
      </c>
      <c r="L9" s="3">
        <f>E9*100000/H9</f>
        <v>1543.2840212249296</v>
      </c>
      <c r="N9" s="1">
        <f t="shared" si="0"/>
        <v>1.5875882317504848</v>
      </c>
      <c r="P9">
        <v>18136</v>
      </c>
      <c r="Q9" s="5">
        <f>P9*(D9/G9)</f>
        <v>444.35005445061705</v>
      </c>
    </row>
    <row r="10" spans="1:17" x14ac:dyDescent="0.25">
      <c r="A10" t="s">
        <v>6</v>
      </c>
      <c r="B10" t="s">
        <v>15</v>
      </c>
      <c r="D10" s="4">
        <v>12522</v>
      </c>
      <c r="E10" s="4">
        <v>114514</v>
      </c>
      <c r="G10" s="2">
        <v>250391.5628473</v>
      </c>
      <c r="H10" s="2">
        <v>2778066.3869039998</v>
      </c>
      <c r="K10" s="3">
        <f>D10*100000/G10</f>
        <v>5000.9672281315952</v>
      </c>
      <c r="L10" s="3">
        <f>E10*100000/H10</f>
        <v>4122.0757192782376</v>
      </c>
      <c r="N10" s="1">
        <f t="shared" si="0"/>
        <v>1.2132157603857041</v>
      </c>
      <c r="P10">
        <v>12315</v>
      </c>
      <c r="Q10" s="5">
        <f>P10*(D10/G10)</f>
        <v>615.86911414440601</v>
      </c>
    </row>
    <row r="11" spans="1:17" x14ac:dyDescent="0.25">
      <c r="A11" t="s">
        <v>6</v>
      </c>
      <c r="B11" t="s">
        <v>16</v>
      </c>
      <c r="D11" s="4">
        <v>11669</v>
      </c>
      <c r="E11" s="4">
        <v>187243</v>
      </c>
      <c r="G11" s="2">
        <v>102245.59499311</v>
      </c>
      <c r="H11" s="2">
        <v>1359183.2075157301</v>
      </c>
      <c r="K11" s="3">
        <f>D11*100000/G11</f>
        <v>11412.716607288887</v>
      </c>
      <c r="L11" s="3">
        <f>E11*100000/H11</f>
        <v>13776.141359356296</v>
      </c>
      <c r="N11" s="1">
        <f t="shared" si="0"/>
        <v>0.82844073021490527</v>
      </c>
      <c r="P11">
        <v>4259</v>
      </c>
      <c r="Q11" s="5">
        <f>P11*(D11/G11)</f>
        <v>486.06760030443365</v>
      </c>
    </row>
    <row r="12" spans="1:17" x14ac:dyDescent="0.25">
      <c r="D12" s="4"/>
      <c r="E12" s="4"/>
      <c r="G12" s="2"/>
      <c r="H12" s="2"/>
      <c r="K12" s="3"/>
      <c r="L12" s="3"/>
      <c r="Q12" s="5"/>
    </row>
    <row r="13" spans="1:17" x14ac:dyDescent="0.25">
      <c r="D13" s="4">
        <f>SUM(D2:D11)</f>
        <v>59948</v>
      </c>
      <c r="E13" s="4">
        <f>SUM(E2:E11)</f>
        <v>481933</v>
      </c>
      <c r="F13" t="s">
        <v>17</v>
      </c>
      <c r="G13" s="2">
        <f>SUM(G2:G11)</f>
        <v>6775457.0583711099</v>
      </c>
      <c r="H13" s="2">
        <f>SUM(H2:H11)</f>
        <v>44925922.300954729</v>
      </c>
      <c r="I13" t="s">
        <v>17</v>
      </c>
      <c r="J13" s="6" t="s">
        <v>22</v>
      </c>
      <c r="K13" s="3">
        <f>D13*100000/G13</f>
        <v>884.78163884064406</v>
      </c>
      <c r="L13" s="3">
        <f>E13*100000/H13</f>
        <v>1072.7281162344848</v>
      </c>
      <c r="N13" s="1">
        <f t="shared" si="0"/>
        <v>0.82479579443337903</v>
      </c>
      <c r="P13">
        <f>SUM(P2:P11)</f>
        <v>274634</v>
      </c>
      <c r="Q13" s="5">
        <f>SUM(Q2:Q11)</f>
        <v>2328.2475914196029</v>
      </c>
    </row>
    <row r="14" spans="1:17" x14ac:dyDescent="0.25">
      <c r="J14" s="6"/>
      <c r="N14" s="1" t="s">
        <v>17</v>
      </c>
    </row>
    <row r="15" spans="1:17" x14ac:dyDescent="0.25">
      <c r="J15" s="6" t="s">
        <v>23</v>
      </c>
      <c r="K15">
        <v>847.8</v>
      </c>
      <c r="L15">
        <v>663.8</v>
      </c>
      <c r="N15" s="1">
        <f t="shared" si="0"/>
        <v>1.2771919252786985</v>
      </c>
      <c r="Q15" s="5">
        <f>Q13*100000/P13</f>
        <v>847.76378431643673</v>
      </c>
    </row>
  </sheetData>
  <conditionalFormatting sqref="G2:G1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{9B54BF07-3192-4AF8-B833-6D39DBF629B4}</x14:id>
        </ext>
      </extLst>
    </cfRule>
  </conditionalFormatting>
  <conditionalFormatting sqref="H2:H1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{ECC997BE-30A1-4AAE-A013-6FFFEE1A74B8}</x14:id>
        </ext>
      </extLst>
    </cfRule>
  </conditionalFormatting>
  <conditionalFormatting sqref="P2:P1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{1BD3CEB1-28E1-4A55-BAD6-3094ADC75A6F}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54BF07-3192-4AF8-B833-6D39DBF62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G2:G12</xm:sqref>
        </x14:conditionalFormatting>
        <x14:conditionalFormatting xmlns:xm="http://schemas.microsoft.com/office/excel/2006/main">
          <x14:cfRule type="dataBar" id="{ECC997BE-30A1-4AAE-A013-6FFFEE1A74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H2:H12</xm:sqref>
        </x14:conditionalFormatting>
        <x14:conditionalFormatting xmlns:xm="http://schemas.microsoft.com/office/excel/2006/main">
          <x14:cfRule type="dataBar" id="{1BD3CEB1-28E1-4A55-BAD6-3094ADC75A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P2:P12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raceAgetemp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SamFam</cp:lastModifiedBy>
  <dcterms:created xsi:type="dcterms:W3CDTF">2020-01-30T07:20:52Z</dcterms:created>
  <dcterms:modified xsi:type="dcterms:W3CDTF">2020-01-30T07:26:52Z</dcterms:modified>
</cp:coreProperties>
</file>