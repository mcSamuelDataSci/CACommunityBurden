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0" yWindow="0" windowWidth="24240" windowHeight="10935"/>
  </bookViews>
  <sheets>
    <sheet name="main" sheetId="1" r:id="rId1"/>
    <sheet name="metaData" sheetId="3" r:id="rId2"/>
    <sheet name="Sheet1" sheetId="4" r:id="rId3"/>
  </sheets>
  <definedNames>
    <definedName name="_xlnm._FilterDatabase" localSheetId="0" hidden="1">main!$A$1:$X$225</definedName>
  </definedNames>
  <calcPr calcId="145621"/>
  <extLst>
    <ext xmlns:mx="http://schemas.microsoft.com/office/mac/excel/2008/main" uri="{7523E5D3-25F3-A5E0-1632-64F254C22452}">
      <mx:ArchID Flags="2"/>
    </ext>
  </extLst>
</workbook>
</file>

<file path=xl/calcChain.xml><?xml version="1.0" encoding="utf-8"?>
<calcChain xmlns="http://schemas.openxmlformats.org/spreadsheetml/2006/main">
  <c r="H211" i="1" l="1"/>
  <c r="A211" i="1" s="1"/>
  <c r="H212" i="1"/>
  <c r="G211" i="1"/>
  <c r="A5" i="1" l="1"/>
  <c r="A9" i="1"/>
  <c r="A10" i="1"/>
  <c r="A11" i="1"/>
  <c r="A12" i="1"/>
  <c r="A13" i="1"/>
  <c r="A15" i="1"/>
  <c r="A16" i="1"/>
  <c r="A17" i="1"/>
  <c r="A18" i="1"/>
  <c r="A19" i="1"/>
  <c r="A20" i="1"/>
  <c r="A21" i="1"/>
  <c r="A22" i="1"/>
  <c r="A26" i="1"/>
  <c r="A28" i="1"/>
  <c r="A30" i="1"/>
  <c r="A31" i="1"/>
  <c r="A32" i="1"/>
  <c r="A33" i="1"/>
  <c r="A34" i="1"/>
  <c r="A35" i="1"/>
  <c r="A36" i="1"/>
  <c r="A37" i="1"/>
  <c r="A38" i="1"/>
  <c r="A39" i="1"/>
  <c r="A40" i="1"/>
  <c r="A41" i="1"/>
  <c r="A42" i="1"/>
  <c r="A43" i="1"/>
  <c r="A44" i="1"/>
  <c r="A45" i="1"/>
  <c r="A46" i="1"/>
  <c r="A47" i="1"/>
  <c r="A48" i="1"/>
  <c r="A49" i="1"/>
  <c r="A50" i="1"/>
  <c r="A51" i="1"/>
  <c r="A55" i="1"/>
  <c r="A57" i="1"/>
  <c r="A58" i="1"/>
  <c r="A59" i="1"/>
  <c r="A60" i="1"/>
  <c r="A61" i="1"/>
  <c r="A62" i="1"/>
  <c r="A64" i="1"/>
  <c r="A65" i="1"/>
  <c r="A66" i="1"/>
  <c r="A67" i="1"/>
  <c r="A68" i="1"/>
  <c r="A69" i="1"/>
  <c r="A70" i="1"/>
  <c r="A71" i="1"/>
  <c r="A72" i="1"/>
  <c r="A73" i="1"/>
  <c r="A74" i="1"/>
  <c r="A78" i="1"/>
  <c r="A79" i="1"/>
  <c r="A80" i="1"/>
  <c r="A88" i="1"/>
  <c r="A89" i="1"/>
  <c r="A92" i="1"/>
  <c r="A93" i="1"/>
  <c r="A96" i="1"/>
  <c r="A100" i="1"/>
  <c r="A101" i="1"/>
  <c r="A102" i="1"/>
  <c r="A103" i="1"/>
  <c r="A110" i="1"/>
  <c r="A113" i="1"/>
  <c r="A114" i="1"/>
  <c r="A115" i="1"/>
  <c r="A116" i="1"/>
  <c r="A117" i="1"/>
  <c r="A120" i="1"/>
  <c r="A121" i="1"/>
  <c r="A122" i="1"/>
  <c r="A123" i="1"/>
  <c r="A124" i="1"/>
  <c r="A125" i="1"/>
  <c r="A127" i="1"/>
  <c r="A131" i="1"/>
  <c r="A132" i="1"/>
  <c r="A133" i="1"/>
  <c r="A134" i="1"/>
  <c r="A135" i="1"/>
  <c r="A136" i="1"/>
  <c r="A137" i="1"/>
  <c r="A138" i="1"/>
  <c r="A139" i="1"/>
  <c r="A140" i="1"/>
  <c r="A141" i="1"/>
  <c r="A143" i="1"/>
  <c r="A144" i="1"/>
  <c r="A145" i="1"/>
  <c r="A146" i="1"/>
  <c r="A147" i="1"/>
  <c r="A149" i="1"/>
  <c r="A150" i="1"/>
  <c r="A151" i="1"/>
  <c r="A152" i="1"/>
  <c r="A153" i="1"/>
  <c r="A154" i="1"/>
  <c r="A155" i="1"/>
  <c r="A156" i="1"/>
  <c r="A158" i="1"/>
  <c r="A165" i="1"/>
  <c r="A170" i="1"/>
  <c r="A172" i="1"/>
  <c r="A173" i="1"/>
  <c r="A174" i="1"/>
  <c r="A175" i="1"/>
  <c r="A176" i="1"/>
  <c r="A177" i="1"/>
  <c r="A178" i="1"/>
  <c r="A179" i="1"/>
  <c r="A184" i="1"/>
  <c r="A185" i="1"/>
  <c r="A186" i="1"/>
  <c r="A187" i="1"/>
  <c r="A188" i="1"/>
  <c r="A189" i="1"/>
  <c r="A190" i="1"/>
  <c r="A191" i="1"/>
  <c r="A192" i="1"/>
  <c r="A193" i="1"/>
  <c r="A194" i="1"/>
  <c r="A195" i="1"/>
  <c r="A197" i="1"/>
  <c r="A198" i="1"/>
  <c r="A199" i="1"/>
  <c r="A200" i="1"/>
  <c r="A201" i="1"/>
  <c r="A202" i="1"/>
  <c r="A203" i="1"/>
  <c r="A204" i="1"/>
  <c r="A205" i="1"/>
  <c r="A206" i="1"/>
  <c r="A207" i="1"/>
  <c r="A212" i="1"/>
  <c r="A214" i="1"/>
  <c r="A215" i="1"/>
  <c r="A216" i="1"/>
  <c r="A218" i="1"/>
  <c r="A220" i="1"/>
  <c r="A226" i="1"/>
  <c r="A228" i="1"/>
  <c r="A2" i="1"/>
  <c r="H53" i="1" l="1"/>
  <c r="A53" i="1" s="1"/>
  <c r="H54" i="1"/>
  <c r="A54" i="1" s="1"/>
  <c r="A217" i="1" l="1"/>
  <c r="G217" i="1"/>
  <c r="H225" i="1" l="1"/>
  <c r="A225" i="1" s="1"/>
  <c r="H224" i="1"/>
  <c r="A224" i="1" s="1"/>
  <c r="H223" i="1"/>
  <c r="A223" i="1" s="1"/>
  <c r="G224" i="1"/>
  <c r="G223" i="1"/>
  <c r="H56" i="1" l="1"/>
  <c r="A56" i="1" s="1"/>
  <c r="H167" i="1" l="1"/>
  <c r="A167" i="1" s="1"/>
  <c r="H183" i="1" l="1"/>
  <c r="A183" i="1" s="1"/>
  <c r="H182" i="1"/>
  <c r="A182" i="1" s="1"/>
  <c r="H181" i="1"/>
  <c r="A181" i="1" s="1"/>
  <c r="H171" i="1" l="1"/>
  <c r="A171" i="1" s="1"/>
  <c r="G163" i="1" l="1"/>
  <c r="H163" i="1"/>
  <c r="A163" i="1" s="1"/>
  <c r="H208" i="1" l="1"/>
  <c r="A208" i="1" s="1"/>
  <c r="H105" i="1" l="1"/>
  <c r="A105" i="1" s="1"/>
  <c r="H232" i="1" l="1"/>
  <c r="A232" i="1" s="1"/>
  <c r="G77" i="1" l="1"/>
  <c r="H229" i="1" l="1"/>
  <c r="A229" i="1" s="1"/>
  <c r="H230" i="1"/>
  <c r="A230" i="1" s="1"/>
  <c r="H231" i="1"/>
  <c r="A231" i="1" s="1"/>
  <c r="H227" i="1" l="1"/>
  <c r="A227" i="1" s="1"/>
  <c r="G228" i="1"/>
  <c r="G227" i="1"/>
  <c r="G226" i="1"/>
  <c r="H24" i="1" l="1"/>
  <c r="A24" i="1" s="1"/>
  <c r="H23" i="1"/>
  <c r="A23" i="1" s="1"/>
  <c r="H91" i="1" l="1"/>
  <c r="A91" i="1" s="1"/>
  <c r="H109" i="1" l="1"/>
  <c r="A109" i="1" s="1"/>
  <c r="H29" i="1" l="1"/>
  <c r="A29" i="1" s="1"/>
  <c r="H27" i="1"/>
  <c r="A27" i="1" s="1"/>
  <c r="G116" i="1" l="1"/>
  <c r="G115" i="1"/>
  <c r="G114" i="1"/>
  <c r="G113" i="1"/>
  <c r="H112" i="1"/>
  <c r="A112" i="1" s="1"/>
  <c r="G225" i="1"/>
  <c r="G221" i="1"/>
  <c r="H222" i="1"/>
  <c r="A222" i="1" s="1"/>
  <c r="H221" i="1"/>
  <c r="A221" i="1" s="1"/>
  <c r="G219" i="1"/>
  <c r="G218" i="1"/>
  <c r="G216" i="1"/>
  <c r="G215" i="1"/>
  <c r="G214" i="1"/>
  <c r="G213" i="1"/>
  <c r="G212" i="1"/>
  <c r="G210" i="1"/>
  <c r="H219" i="1"/>
  <c r="A219" i="1" s="1"/>
  <c r="H213" i="1"/>
  <c r="A213" i="1" s="1"/>
  <c r="H210" i="1"/>
  <c r="A210" i="1" s="1"/>
  <c r="A209" i="1"/>
  <c r="H130" i="1"/>
  <c r="A130" i="1" s="1"/>
  <c r="H129" i="1"/>
  <c r="A129" i="1" s="1"/>
  <c r="H119" i="1"/>
  <c r="A119" i="1" s="1"/>
  <c r="H118" i="1"/>
  <c r="A118" i="1" s="1"/>
  <c r="H76" i="1"/>
  <c r="A76" i="1" s="1"/>
  <c r="G207" i="1" l="1"/>
  <c r="G206" i="1"/>
  <c r="G205" i="1"/>
  <c r="G204" i="1"/>
  <c r="G202" i="1"/>
  <c r="G201" i="1"/>
  <c r="G200" i="1"/>
  <c r="G199" i="1"/>
  <c r="G198" i="1"/>
  <c r="G197" i="1"/>
  <c r="H196" i="1"/>
  <c r="A196" i="1" s="1"/>
  <c r="G195" i="1"/>
  <c r="G194" i="1"/>
  <c r="G193" i="1"/>
  <c r="G192" i="1"/>
  <c r="G191" i="1"/>
  <c r="G189" i="1"/>
  <c r="G188" i="1"/>
  <c r="G187" i="1"/>
  <c r="G186" i="1"/>
  <c r="G185" i="1"/>
  <c r="G184" i="1"/>
  <c r="G183" i="1"/>
  <c r="G182" i="1"/>
  <c r="G181" i="1"/>
  <c r="H180" i="1"/>
  <c r="A180" i="1" s="1"/>
  <c r="G171" i="1"/>
  <c r="G172" i="1"/>
  <c r="G173" i="1"/>
  <c r="G174" i="1"/>
  <c r="G175" i="1"/>
  <c r="G176" i="1"/>
  <c r="G177" i="1"/>
  <c r="G178" i="1"/>
  <c r="H169" i="1"/>
  <c r="A169" i="1" s="1"/>
  <c r="G170" i="1"/>
  <c r="H168" i="1"/>
  <c r="A168" i="1" s="1"/>
  <c r="G168" i="1"/>
  <c r="G167" i="1"/>
  <c r="H166" i="1"/>
  <c r="A166" i="1" s="1"/>
  <c r="G166" i="1"/>
  <c r="G164" i="1"/>
  <c r="G162" i="1"/>
  <c r="G161" i="1"/>
  <c r="G160" i="1"/>
  <c r="G159" i="1"/>
  <c r="G158" i="1"/>
  <c r="H164" i="1"/>
  <c r="A164" i="1" s="1"/>
  <c r="H162" i="1"/>
  <c r="A162" i="1" s="1"/>
  <c r="H161" i="1"/>
  <c r="A161" i="1" s="1"/>
  <c r="H160" i="1"/>
  <c r="A160" i="1" s="1"/>
  <c r="H159" i="1"/>
  <c r="A159" i="1" s="1"/>
  <c r="H157" i="1"/>
  <c r="A157" i="1" s="1"/>
  <c r="G156" i="1"/>
  <c r="G155" i="1"/>
  <c r="G154" i="1"/>
  <c r="G153" i="1"/>
  <c r="G152" i="1"/>
  <c r="G151" i="1"/>
  <c r="G150" i="1"/>
  <c r="G147" i="1"/>
  <c r="G146" i="1"/>
  <c r="G145" i="1"/>
  <c r="G144" i="1"/>
  <c r="G143" i="1"/>
  <c r="H148" i="1"/>
  <c r="A148" i="1" s="1"/>
  <c r="G148" i="1"/>
  <c r="H142" i="1"/>
  <c r="A142" i="1" s="1"/>
  <c r="G142" i="1"/>
  <c r="H128" i="1"/>
  <c r="A128" i="1" s="1"/>
  <c r="H126" i="1"/>
  <c r="A126" i="1" s="1"/>
  <c r="G140" i="1"/>
  <c r="G139" i="1"/>
  <c r="G138" i="1"/>
  <c r="G137" i="1"/>
  <c r="G135" i="1"/>
  <c r="G134" i="1"/>
  <c r="G133" i="1"/>
  <c r="G132" i="1"/>
  <c r="G131" i="1"/>
  <c r="G130" i="1"/>
  <c r="G129" i="1"/>
  <c r="G128" i="1"/>
  <c r="G126" i="1"/>
  <c r="G125" i="1"/>
  <c r="G124" i="1"/>
  <c r="G123" i="1"/>
  <c r="G122" i="1"/>
  <c r="H111" i="1"/>
  <c r="A111" i="1" s="1"/>
  <c r="G111" i="1"/>
  <c r="G110" i="1"/>
  <c r="G109" i="1"/>
  <c r="G108" i="1"/>
  <c r="H108" i="1"/>
  <c r="A108" i="1" s="1"/>
  <c r="H107" i="1"/>
  <c r="A107" i="1" s="1"/>
  <c r="H106" i="1"/>
  <c r="A106" i="1" s="1"/>
  <c r="G107" i="1"/>
  <c r="G106" i="1"/>
  <c r="G105" i="1"/>
  <c r="G103" i="1"/>
  <c r="G102" i="1"/>
  <c r="G101" i="1"/>
  <c r="G100" i="1"/>
  <c r="G99" i="1"/>
  <c r="G98" i="1"/>
  <c r="G97" i="1"/>
  <c r="G96" i="1"/>
  <c r="G95" i="1"/>
  <c r="G94" i="1"/>
  <c r="G93" i="1"/>
  <c r="G92" i="1"/>
  <c r="G90" i="1"/>
  <c r="H104" i="1"/>
  <c r="A104" i="1" s="1"/>
  <c r="H99" i="1"/>
  <c r="A99" i="1" s="1"/>
  <c r="H98" i="1"/>
  <c r="A98" i="1" s="1"/>
  <c r="H97" i="1"/>
  <c r="A97" i="1" s="1"/>
  <c r="H95" i="1"/>
  <c r="A95" i="1" s="1"/>
  <c r="H94" i="1"/>
  <c r="A94" i="1" s="1"/>
  <c r="H90" i="1"/>
  <c r="A90" i="1" s="1"/>
  <c r="G89" i="1"/>
  <c r="G88" i="1"/>
  <c r="G82" i="1"/>
  <c r="H82" i="1"/>
  <c r="A82" i="1" s="1"/>
  <c r="G83" i="1"/>
  <c r="H83" i="1"/>
  <c r="A83" i="1" s="1"/>
  <c r="G84" i="1"/>
  <c r="H84" i="1"/>
  <c r="A84" i="1" s="1"/>
  <c r="G85" i="1"/>
  <c r="H85" i="1"/>
  <c r="A85" i="1" s="1"/>
  <c r="G86" i="1"/>
  <c r="H86" i="1"/>
  <c r="A86" i="1" s="1"/>
  <c r="H87" i="1"/>
  <c r="A87" i="1" s="1"/>
  <c r="H81" i="1"/>
  <c r="A81" i="1" s="1"/>
  <c r="G81" i="1"/>
  <c r="H77" i="1"/>
  <c r="A77" i="1" s="1"/>
  <c r="H75" i="1"/>
  <c r="A75" i="1" s="1"/>
  <c r="G79" i="1"/>
  <c r="G80" i="1"/>
  <c r="G78" i="1"/>
  <c r="H3" i="1" l="1"/>
  <c r="A3" i="1" s="1"/>
  <c r="G64" i="1" l="1"/>
  <c r="G73" i="1"/>
  <c r="G72" i="1"/>
  <c r="G71" i="1"/>
  <c r="G70" i="1"/>
  <c r="G69" i="1"/>
  <c r="H63" i="1"/>
  <c r="A63" i="1" s="1"/>
  <c r="G67" i="1"/>
  <c r="G66" i="1"/>
  <c r="G65" i="1"/>
  <c r="G62" i="1"/>
  <c r="G61" i="1"/>
  <c r="G60" i="1"/>
  <c r="G59" i="1"/>
  <c r="G58" i="1"/>
  <c r="G57" i="1"/>
  <c r="H52" i="1"/>
  <c r="A52" i="1" s="1"/>
  <c r="G55" i="1"/>
  <c r="G54" i="1"/>
  <c r="G53" i="1"/>
  <c r="G51" i="1"/>
  <c r="G50" i="1"/>
  <c r="G49" i="1"/>
  <c r="G48" i="1"/>
  <c r="G47" i="1"/>
  <c r="G45" i="1"/>
  <c r="G44" i="1"/>
  <c r="G43" i="1"/>
  <c r="G42" i="1"/>
  <c r="G41" i="1"/>
  <c r="G40" i="1"/>
  <c r="G39" i="1"/>
  <c r="G38" i="1"/>
  <c r="G37" i="1"/>
  <c r="G36" i="1"/>
  <c r="G35" i="1"/>
  <c r="G34" i="1"/>
  <c r="G33" i="1"/>
  <c r="G32" i="1"/>
  <c r="H25" i="1"/>
  <c r="A25" i="1" s="1"/>
  <c r="H4" i="1"/>
  <c r="A4" i="1" s="1"/>
  <c r="H14" i="1"/>
  <c r="A14" i="1" s="1"/>
  <c r="H8" i="1"/>
  <c r="A8" i="1" s="1"/>
  <c r="H7" i="1"/>
  <c r="A7" i="1" s="1"/>
  <c r="H6" i="1"/>
  <c r="A6" i="1" s="1"/>
  <c r="H2" i="1"/>
  <c r="G30" i="1" l="1"/>
  <c r="G29" i="1"/>
  <c r="G27" i="1"/>
  <c r="G26" i="1"/>
  <c r="G24" i="1"/>
  <c r="G23" i="1"/>
  <c r="G22" i="1"/>
  <c r="G21" i="1"/>
  <c r="G20" i="1"/>
  <c r="G19" i="1"/>
  <c r="G17" i="1"/>
  <c r="G16" i="1"/>
  <c r="G15" i="1"/>
  <c r="G6" i="1"/>
  <c r="G9" i="1"/>
  <c r="G10" i="1"/>
  <c r="G11" i="1"/>
  <c r="G12" i="1"/>
  <c r="G13" i="1"/>
</calcChain>
</file>

<file path=xl/comments1.xml><?xml version="1.0" encoding="utf-8"?>
<comments xmlns="http://schemas.openxmlformats.org/spreadsheetml/2006/main">
  <authors>
    <author>Dauphine, David (CDPH-CHSI-PHPRB)</author>
    <author>Matt</author>
    <author>Dauphine, David (CDPH-CHSI)</author>
  </authors>
  <commentList>
    <comment ref="L1" authorId="0">
      <text>
        <r>
          <rPr>
            <b/>
            <sz val="9"/>
            <color indexed="81"/>
            <rFont val="Tahoma"/>
            <family val="2"/>
          </rPr>
          <t>Dauphine, David (CDPH-CHSI-PHPRB):</t>
        </r>
        <r>
          <rPr>
            <sz val="9"/>
            <color indexed="81"/>
            <rFont val="Tahoma"/>
            <family val="2"/>
          </rPr>
          <t xml:space="preserve">
Changes were mainly based on our IHME-WHO pivot table for 3.8M deaths from 2000-2015. Now I realize would be more comprehensive to use our "ICD 10 by code" sheet which has every possible code, whether it was part of the 3.8M or not, since they could come up in future years. </t>
        </r>
      </text>
    </comment>
    <comment ref="C57" authorId="1">
      <text>
        <r>
          <rPr>
            <b/>
            <sz val="10"/>
            <color indexed="81"/>
            <rFont val="Tahoma"/>
            <family val="2"/>
          </rPr>
          <t>Matt:</t>
        </r>
        <r>
          <rPr>
            <sz val="10"/>
            <color indexed="81"/>
            <rFont val="Tahoma"/>
            <family val="2"/>
          </rPr>
          <t xml:space="preserve">
All removed in 2015 version</t>
        </r>
      </text>
    </comment>
    <comment ref="P126" authorId="2">
      <text>
        <r>
          <rPr>
            <b/>
            <sz val="9"/>
            <color indexed="81"/>
            <rFont val="Tahoma"/>
            <family val="2"/>
          </rPr>
          <t>Dauphine, David (CDPH-CHSI):</t>
        </r>
        <r>
          <rPr>
            <sz val="9"/>
            <color indexed="81"/>
            <rFont val="Tahoma"/>
            <family val="2"/>
          </rPr>
          <t xml:space="preserve">
Where did Q860 come from? Adding to new "ICD10" column</t>
        </r>
      </text>
    </comment>
  </commentList>
</comments>
</file>

<file path=xl/sharedStrings.xml><?xml version="1.0" encoding="utf-8"?>
<sst xmlns="http://schemas.openxmlformats.org/spreadsheetml/2006/main" count="2861" uniqueCount="1418">
  <si>
    <t>I. Communicable, maternal, perinatal and nutritional conditions</t>
  </si>
  <si>
    <t>A. Infectious and parasitic diseases</t>
  </si>
  <si>
    <t>1. Tuberculosis</t>
  </si>
  <si>
    <t>2. Sexually transmitted diseases (STDs) excluding HIV</t>
  </si>
  <si>
    <t>a. Syphilis</t>
  </si>
  <si>
    <t>b. Chlamydia</t>
  </si>
  <si>
    <t>c. Gonorrhoea</t>
  </si>
  <si>
    <t>d. Trichomoniasis</t>
  </si>
  <si>
    <t>e. Other STDs</t>
  </si>
  <si>
    <t>3. HIV/AIDS</t>
  </si>
  <si>
    <t>4. Diarrhoeal diseases</t>
  </si>
  <si>
    <t>5. Childhood-cluster diseases</t>
  </si>
  <si>
    <t>a. Whooping cough</t>
  </si>
  <si>
    <t>b. Diphtheria</t>
  </si>
  <si>
    <t>c. Measles</t>
  </si>
  <si>
    <t>d. Tetanus</t>
  </si>
  <si>
    <t>6. Meningitis</t>
  </si>
  <si>
    <t>7. Encephalitis</t>
  </si>
  <si>
    <t>a. Malaria</t>
  </si>
  <si>
    <t>b. Trypanosomiasis</t>
  </si>
  <si>
    <t>c. Chagas disease</t>
  </si>
  <si>
    <t>d. Schistosomiasis</t>
  </si>
  <si>
    <t>e. Leishmaniasis</t>
  </si>
  <si>
    <t>f. Lymphatic filariasis</t>
  </si>
  <si>
    <t>g. Onchocerciasis</t>
  </si>
  <si>
    <t>a. Ascariasis</t>
  </si>
  <si>
    <t>b. Trichuriasis</t>
  </si>
  <si>
    <t>c. Hookworm disease</t>
  </si>
  <si>
    <t>B. Respiratory infections</t>
  </si>
  <si>
    <t>1. Lower respiratory infections</t>
  </si>
  <si>
    <t>2. Upper respiratory infections</t>
  </si>
  <si>
    <t>3. Otitis media</t>
  </si>
  <si>
    <t>C. Maternal conditions</t>
  </si>
  <si>
    <t>1. Maternal haemorrhage</t>
  </si>
  <si>
    <t>2. Maternal sepsis</t>
  </si>
  <si>
    <t>3. Hypertensive disorders of pregnancy</t>
  </si>
  <si>
    <t>4. Obstructed labour</t>
  </si>
  <si>
    <t>5. Abortion</t>
  </si>
  <si>
    <t>6. Other maternal conditions</t>
  </si>
  <si>
    <t>D. Neonatal conditions</t>
  </si>
  <si>
    <t>1. Preterm birth complications</t>
  </si>
  <si>
    <t>2. Birth asphyxia and birth trauma</t>
  </si>
  <si>
    <t>3. Neonatal sepsis and infections</t>
  </si>
  <si>
    <t>4. Other neonatal conditions</t>
  </si>
  <si>
    <t>E. Nutritional deficiencies</t>
  </si>
  <si>
    <t>1. Protein-energy malnutrition</t>
  </si>
  <si>
    <t>2. Iodine deficiency</t>
  </si>
  <si>
    <t>3. Vitamin A deficiency</t>
  </si>
  <si>
    <t>4. Iron-deficiency anaemia</t>
  </si>
  <si>
    <t>5. Other nutritional disorders</t>
  </si>
  <si>
    <t>II. Noncommunicable diseases</t>
  </si>
  <si>
    <t>A. Malignant neoplasms</t>
  </si>
  <si>
    <t>1. Mouth and oropharynx cancers</t>
  </si>
  <si>
    <t>2. Oesophagus cancer</t>
  </si>
  <si>
    <t>3. Stomach cancer</t>
  </si>
  <si>
    <t>4. Colon and rectum cancers</t>
  </si>
  <si>
    <t>5. Liver cancer</t>
  </si>
  <si>
    <t>6. Pancreas cancer</t>
  </si>
  <si>
    <t>7. Trachea, bronchus and lung cancers</t>
  </si>
  <si>
    <t>8. Melanoma and other skin cancers</t>
  </si>
  <si>
    <t>9. Breast cancer</t>
  </si>
  <si>
    <t>10. Cervix uteri cancer</t>
  </si>
  <si>
    <t>11. Corpus uteri cancer</t>
  </si>
  <si>
    <t>12. Ovary cancer</t>
  </si>
  <si>
    <t>13. Prostate cancer</t>
  </si>
  <si>
    <t>B. Other neoplasms</t>
  </si>
  <si>
    <t>C. Diabetes mellitus</t>
  </si>
  <si>
    <t>D. Endocrine, blood, immune disorders</t>
  </si>
  <si>
    <t>E. Mental and behavioural disorders</t>
  </si>
  <si>
    <t>3. Schizophrenia</t>
  </si>
  <si>
    <t>4. Alcohol use disorders</t>
  </si>
  <si>
    <t>5. Drug use disorders</t>
  </si>
  <si>
    <t>6. Anxiety disorders</t>
  </si>
  <si>
    <t>7. Eating disorders</t>
  </si>
  <si>
    <t>9. Childhood behavioural disorders</t>
  </si>
  <si>
    <t>10. Idiopathic intellectual disability</t>
  </si>
  <si>
    <t>11. Other mental and behavioural disorders</t>
  </si>
  <si>
    <t>F. Neurological conditions</t>
  </si>
  <si>
    <t>1. Alzheimer’s disease and other dementias</t>
  </si>
  <si>
    <t>2. Parkinson disease</t>
  </si>
  <si>
    <t>3. Epilepsy</t>
  </si>
  <si>
    <t>4. Multiple sclerosis</t>
  </si>
  <si>
    <t>5. Migraine</t>
  </si>
  <si>
    <t>6. Non-migraine headache</t>
  </si>
  <si>
    <t>7. Other neurological conditions</t>
  </si>
  <si>
    <t>G. Sense organ diseases</t>
  </si>
  <si>
    <t>1. Glaucoma</t>
  </si>
  <si>
    <t>2. Cataracts</t>
  </si>
  <si>
    <t>3. Refractive errors</t>
  </si>
  <si>
    <t>4. Macular degeneration</t>
  </si>
  <si>
    <t>5. Other vision loss</t>
  </si>
  <si>
    <t>6. Other hearing loss</t>
  </si>
  <si>
    <t>7. Other sense organ disorders</t>
  </si>
  <si>
    <t>H. Cardiovascular diseases</t>
  </si>
  <si>
    <t>1. Rheumatic heart disease</t>
  </si>
  <si>
    <t>2. Hypertensive heart disease</t>
  </si>
  <si>
    <t>3. Ischaemic heart disease</t>
  </si>
  <si>
    <t>4. Stroke</t>
  </si>
  <si>
    <t>5. Cardiomyopathy, myocarditis, endocarditis</t>
  </si>
  <si>
    <t>6. Other cardiovascular diseases</t>
  </si>
  <si>
    <t>I. Respiratory diseases</t>
  </si>
  <si>
    <t>1. Chronic obstructive pulmonary disease</t>
  </si>
  <si>
    <t>2. Asthma</t>
  </si>
  <si>
    <t>3. Other respiratory diseases</t>
  </si>
  <si>
    <t>J. Digestive diseases</t>
  </si>
  <si>
    <t>1. Peptic ulcer disease</t>
  </si>
  <si>
    <t>2. Cirrhosis of the liver</t>
  </si>
  <si>
    <t>3. Appendicitis</t>
  </si>
  <si>
    <t>K. Genitourinary diseases</t>
  </si>
  <si>
    <t>1. Kidney diseases</t>
  </si>
  <si>
    <t>3. Urolithiasis</t>
  </si>
  <si>
    <t>4. Other genitourinary disorders</t>
  </si>
  <si>
    <t>5. Infertility</t>
  </si>
  <si>
    <t>6. Gynecological diseases</t>
  </si>
  <si>
    <t>L. Skin diseases</t>
  </si>
  <si>
    <t>M. Musculoskeletal diseases</t>
  </si>
  <si>
    <t>1. Rheumatoid arthritis</t>
  </si>
  <si>
    <t>2. Osteoarthritis</t>
  </si>
  <si>
    <t>3. Gout</t>
  </si>
  <si>
    <t>4. Back and neck pain</t>
  </si>
  <si>
    <t>5. Other musculoskeletal disorders</t>
  </si>
  <si>
    <t>N. Congenital anomalies</t>
  </si>
  <si>
    <t>1. Neural tube defects</t>
  </si>
  <si>
    <t>2. Cleft lip and cleft palate</t>
  </si>
  <si>
    <t>3. Down syndrome</t>
  </si>
  <si>
    <t>4. Congenital heart anomalies</t>
  </si>
  <si>
    <t>5. Other chromosomal anomalies</t>
  </si>
  <si>
    <t>6. Other congenital anomalies</t>
  </si>
  <si>
    <t>O. Oral conditions</t>
  </si>
  <si>
    <t>1. Dental caries</t>
  </si>
  <si>
    <t>2. Periodontal disease</t>
  </si>
  <si>
    <t>3. Edentulism</t>
  </si>
  <si>
    <t>III. Injuries</t>
  </si>
  <si>
    <t>A. Unintentional injuries</t>
  </si>
  <si>
    <t>1. Road injury</t>
  </si>
  <si>
    <t>2. Poisonings</t>
  </si>
  <si>
    <t>3. Falls</t>
  </si>
  <si>
    <t>4. Fire, heat and hot substances</t>
  </si>
  <si>
    <t>5. Drownings</t>
  </si>
  <si>
    <t>B. Intentional injuries</t>
  </si>
  <si>
    <t>1. Self-harm</t>
  </si>
  <si>
    <t>2. Interpersonal violence</t>
  </si>
  <si>
    <t>3. Collective violence and legal intervention</t>
  </si>
  <si>
    <t>Communicable, maternal, perinatal and nutritional conditions</t>
  </si>
  <si>
    <t>Infectious and parasitic diseases</t>
  </si>
  <si>
    <t>Tuberculosis</t>
  </si>
  <si>
    <t>Sexually transmitted diseases (STDs) excluding HIV</t>
  </si>
  <si>
    <t>Syphilis</t>
  </si>
  <si>
    <t>Chlamydia</t>
  </si>
  <si>
    <t>Gonorrhoea</t>
  </si>
  <si>
    <t>Trichomoniasis</t>
  </si>
  <si>
    <t>Other STDs</t>
  </si>
  <si>
    <t>HIV/AIDS</t>
  </si>
  <si>
    <t>HIV resulting in TB</t>
  </si>
  <si>
    <t>HIV resulting in other diseases</t>
  </si>
  <si>
    <t>Diarrhoeal diseases</t>
  </si>
  <si>
    <t>Childhood-cluster diseases</t>
  </si>
  <si>
    <t>Whooping cough</t>
  </si>
  <si>
    <t>Diphtheria</t>
  </si>
  <si>
    <t>Measles</t>
  </si>
  <si>
    <t>Tetanus</t>
  </si>
  <si>
    <t>Meningitis</t>
  </si>
  <si>
    <t>Encephalitis</t>
  </si>
  <si>
    <t>Hepatitis</t>
  </si>
  <si>
    <t>Acute hepatitis A</t>
  </si>
  <si>
    <t>Acute hepatitis B</t>
  </si>
  <si>
    <t>Acute hepatitis C</t>
  </si>
  <si>
    <t>Acute hepatitis E</t>
  </si>
  <si>
    <t>Parasitic and vector diseases</t>
  </si>
  <si>
    <t>Malaria</t>
  </si>
  <si>
    <t>Trypanosomiasis</t>
  </si>
  <si>
    <t>Chagas disease</t>
  </si>
  <si>
    <t>Schistosomiasis</t>
  </si>
  <si>
    <t>Leishmaniasis</t>
  </si>
  <si>
    <t>Lymphatic filariasis</t>
  </si>
  <si>
    <t>Onchocerciasis</t>
  </si>
  <si>
    <t>Cysticercosis</t>
  </si>
  <si>
    <t>Echinococcosis</t>
  </si>
  <si>
    <t>Dengue</t>
  </si>
  <si>
    <t>Trachoma</t>
  </si>
  <si>
    <t>Yellow fever</t>
  </si>
  <si>
    <t>Rabies</t>
  </si>
  <si>
    <t>Intestinal nematode infections</t>
  </si>
  <si>
    <t>Ascariasis</t>
  </si>
  <si>
    <t>Trichuriasis</t>
  </si>
  <si>
    <t>Hookworm disease</t>
  </si>
  <si>
    <t>Food-bourne trematodes</t>
  </si>
  <si>
    <t>Other infectious diseases</t>
  </si>
  <si>
    <t>Respiratory infections</t>
  </si>
  <si>
    <t>Lower respiratory infections</t>
  </si>
  <si>
    <t>Upper respiratory infections</t>
  </si>
  <si>
    <t>Otitis media</t>
  </si>
  <si>
    <t>Maternal conditions</t>
  </si>
  <si>
    <t>Maternal haemorrhage</t>
  </si>
  <si>
    <t>Maternal sepsis</t>
  </si>
  <si>
    <t>Hypertensive disorders of pregnancy</t>
  </si>
  <si>
    <t>Obstructed labour</t>
  </si>
  <si>
    <t>Abortion</t>
  </si>
  <si>
    <t>Other maternal conditions</t>
  </si>
  <si>
    <t>Neonatal conditions</t>
  </si>
  <si>
    <t>Preterm birth complications</t>
  </si>
  <si>
    <t>Birth asphyxia and birth trauma</t>
  </si>
  <si>
    <t>Neonatal sepsis and infections</t>
  </si>
  <si>
    <t>Other neonatal conditions</t>
  </si>
  <si>
    <t>Nutritional deficiencies</t>
  </si>
  <si>
    <t>Protein-energy malnutrition</t>
  </si>
  <si>
    <t>Iodine deficiency</t>
  </si>
  <si>
    <t>Vitamin A deficiency</t>
  </si>
  <si>
    <t>Iron-deficiency anaemia</t>
  </si>
  <si>
    <t>Other nutritional disorders</t>
  </si>
  <si>
    <t>Noncommunicable diseases</t>
  </si>
  <si>
    <t>Malignant neoplasms</t>
  </si>
  <si>
    <t>Mouth and oropharynx cancers</t>
  </si>
  <si>
    <t>Lip and oral cavity</t>
  </si>
  <si>
    <t>Nasophayrnx</t>
  </si>
  <si>
    <t>Other pharynx</t>
  </si>
  <si>
    <t>Oesophagus cancer</t>
  </si>
  <si>
    <t>Stomach cancer</t>
  </si>
  <si>
    <t>Colon and rectum cancers</t>
  </si>
  <si>
    <t>Liver cancer</t>
  </si>
  <si>
    <t>Pancreas cancer</t>
  </si>
  <si>
    <t>Trachea, bronchus and lung cancers</t>
  </si>
  <si>
    <t>Melanoma and other skin cancers</t>
  </si>
  <si>
    <t>Malignant skin melanoma</t>
  </si>
  <si>
    <t>Non-melanoma skin cancer</t>
  </si>
  <si>
    <t>Breast cancer</t>
  </si>
  <si>
    <t>Cervix uteri cancer</t>
  </si>
  <si>
    <t>Corpus uteri cancer</t>
  </si>
  <si>
    <t>Ovary cancer</t>
  </si>
  <si>
    <t>Prostate cancer</t>
  </si>
  <si>
    <t>Testicular cancer</t>
  </si>
  <si>
    <t>Kidney, renal pelvis and ureter cancer</t>
  </si>
  <si>
    <t>Bladder cancer</t>
  </si>
  <si>
    <t>Brain and nervous system cancers</t>
  </si>
  <si>
    <t>Lymphomas and multiple myeloma</t>
  </si>
  <si>
    <t>Leukaemia</t>
  </si>
  <si>
    <t>Other malignant neoplasms</t>
  </si>
  <si>
    <t>Other neoplasms</t>
  </si>
  <si>
    <t>Diabetes mellitus</t>
  </si>
  <si>
    <t>Endocrine, blood, immune disorders</t>
  </si>
  <si>
    <t>Thalassaemias</t>
  </si>
  <si>
    <t>Sickle cell disorders and trait</t>
  </si>
  <si>
    <t>Other haemoglobinopathies and haemolytic anaemias</t>
  </si>
  <si>
    <t>Other endocrine, blood and immune disorders</t>
  </si>
  <si>
    <t>Depressive disorders</t>
  </si>
  <si>
    <t>Major depressive disorder</t>
  </si>
  <si>
    <t>Dysthymia</t>
  </si>
  <si>
    <t>Schizophrenia</t>
  </si>
  <si>
    <t>Alcohol use disorders</t>
  </si>
  <si>
    <t>Drug use disorders</t>
  </si>
  <si>
    <t>Anxiety disorders</t>
  </si>
  <si>
    <t>Eating disorders</t>
  </si>
  <si>
    <t>Idiopathic intellectual disability</t>
  </si>
  <si>
    <t>Other mental and behavioural disorders</t>
  </si>
  <si>
    <t>Neurological conditions</t>
  </si>
  <si>
    <t>Alzheimer’s disease and other dementias</t>
  </si>
  <si>
    <t>Parkinson disease</t>
  </si>
  <si>
    <t>Epilepsy</t>
  </si>
  <si>
    <t>Multiple sclerosis</t>
  </si>
  <si>
    <t>Migraine</t>
  </si>
  <si>
    <t>Non-migraine headache</t>
  </si>
  <si>
    <t>Other neurological conditions</t>
  </si>
  <si>
    <t>Sense organ diseases</t>
  </si>
  <si>
    <t>Glaucoma</t>
  </si>
  <si>
    <t>Cataracts</t>
  </si>
  <si>
    <t>Refractive errors</t>
  </si>
  <si>
    <t>Macular degeneration</t>
  </si>
  <si>
    <t>Other vision loss</t>
  </si>
  <si>
    <t>Other hearing loss</t>
  </si>
  <si>
    <t>Other sense organ disorders</t>
  </si>
  <si>
    <t>Cardiovascular diseases</t>
  </si>
  <si>
    <t>Rheumatic heart disease</t>
  </si>
  <si>
    <t>Hypertensive heart disease</t>
  </si>
  <si>
    <t>Ischaemic heart disease</t>
  </si>
  <si>
    <t>Stroke</t>
  </si>
  <si>
    <t>Cardiomyopathy, myocarditis, endocarditis</t>
  </si>
  <si>
    <t>Other cardiovascular diseases</t>
  </si>
  <si>
    <t>Respiratory diseases</t>
  </si>
  <si>
    <t>Chronic obstructive pulmonary disease</t>
  </si>
  <si>
    <t>Asthma</t>
  </si>
  <si>
    <t>Other respiratory diseases</t>
  </si>
  <si>
    <t>Digestive diseases</t>
  </si>
  <si>
    <t>Peptic ulcer disease</t>
  </si>
  <si>
    <t>Cirrhosis of the liver</t>
  </si>
  <si>
    <t>Appendicitis</t>
  </si>
  <si>
    <t>Other digestive diseases</t>
  </si>
  <si>
    <t>Genitourinary diseases</t>
  </si>
  <si>
    <t>Kidney diseases</t>
  </si>
  <si>
    <t>Urolithiasis</t>
  </si>
  <si>
    <t>Infertility</t>
  </si>
  <si>
    <t>Gynecological diseases</t>
  </si>
  <si>
    <t>Skin diseases</t>
  </si>
  <si>
    <t>Musculoskeletal diseases</t>
  </si>
  <si>
    <t>Rheumatoid arthritis</t>
  </si>
  <si>
    <t>Osteoarthritis</t>
  </si>
  <si>
    <t>Gout</t>
  </si>
  <si>
    <t>Back and neck pain</t>
  </si>
  <si>
    <t>Other musculoskeletal disorders</t>
  </si>
  <si>
    <t>Congenital anomalies</t>
  </si>
  <si>
    <t>Neural tube defects</t>
  </si>
  <si>
    <t>Cleft lip and cleft palate</t>
  </si>
  <si>
    <t>Down syndrome</t>
  </si>
  <si>
    <t>Congenital heart anomalies</t>
  </si>
  <si>
    <t>Other chromosomal anomalies</t>
  </si>
  <si>
    <t>Other congenital anomalies</t>
  </si>
  <si>
    <t>Oral conditions</t>
  </si>
  <si>
    <t>Dental caries</t>
  </si>
  <si>
    <t>Periodontal disease</t>
  </si>
  <si>
    <t>Edentulism</t>
  </si>
  <si>
    <t>Unintentional injuries</t>
  </si>
  <si>
    <t>Road injury</t>
  </si>
  <si>
    <t>Poisonings</t>
  </si>
  <si>
    <t>Falls</t>
  </si>
  <si>
    <t>Fire, heat and hot substances</t>
  </si>
  <si>
    <t>Drownings</t>
  </si>
  <si>
    <t>Other unintentional injuries</t>
  </si>
  <si>
    <t>Intentional injuries</t>
  </si>
  <si>
    <t>Self-harm</t>
  </si>
  <si>
    <t>Interpersonal violence</t>
  </si>
  <si>
    <t>Collective violence and legal intervention</t>
  </si>
  <si>
    <t>A|B|G0[0,3,4]|N7[0-3]</t>
  </si>
  <si>
    <t>A1[5-9]|B90</t>
  </si>
  <si>
    <t>A5|A6[0-4]|N7[0-3]</t>
  </si>
  <si>
    <t>A5[0-3]</t>
  </si>
  <si>
    <t>A5[5-6]</t>
  </si>
  <si>
    <t>A54</t>
  </si>
  <si>
    <t>A59</t>
  </si>
  <si>
    <t>A5[7-8]|A6[0-4]|N7[0-3]</t>
  </si>
  <si>
    <t>B2[0-4]</t>
  </si>
  <si>
    <t>B200</t>
  </si>
  <si>
    <t>B20[1-9]|B2[1-4]</t>
  </si>
  <si>
    <t>A0[0,1,3,4,6-9]</t>
  </si>
  <si>
    <t>A3[3-7]|B05</t>
  </si>
  <si>
    <t>A37</t>
  </si>
  <si>
    <t>A36</t>
  </si>
  <si>
    <t>B05</t>
  </si>
  <si>
    <t>A3[3-5]</t>
  </si>
  <si>
    <t>A39|G0[0,3]</t>
  </si>
  <si>
    <t>A8[3-6]|B941|G04</t>
  </si>
  <si>
    <t>B1[5-6,8-9]|B17[0-7,9]</t>
  </si>
  <si>
    <t>B15</t>
  </si>
  <si>
    <t>B16|B17[0,3-9]|B18[0-1,3-7,9]|B19</t>
  </si>
  <si>
    <t>B171|B182</t>
  </si>
  <si>
    <t>B172|B188</t>
  </si>
  <si>
    <t>A30|A71|A82|A9[0-1]|B5[0-7]|B65|B73|B74[0-2]</t>
  </si>
  <si>
    <t>B5[0-4]|P373|P374</t>
  </si>
  <si>
    <t>B56</t>
  </si>
  <si>
    <t>B57</t>
  </si>
  <si>
    <t>B65</t>
  </si>
  <si>
    <t>B55</t>
  </si>
  <si>
    <t>B74[0-2]</t>
  </si>
  <si>
    <t>B73</t>
  </si>
  <si>
    <t>B69</t>
  </si>
  <si>
    <t>B67</t>
  </si>
  <si>
    <t>A9[0-1]</t>
  </si>
  <si>
    <t>A71</t>
  </si>
  <si>
    <t>A95</t>
  </si>
  <si>
    <t>A82</t>
  </si>
  <si>
    <t>B77</t>
  </si>
  <si>
    <t>B79</t>
  </si>
  <si>
    <t>B76</t>
  </si>
  <si>
    <t>B78|B8[0-1]</t>
  </si>
  <si>
    <t>A0[2,5]|A2[0-8]|A3[1,2,8]|A4|A6[5-9]|A7[0,4-9]|A8[0-1,7-9]|A9[2-9]|B0[0-4,6-9]|B178|B2[5-9]|B3|B4|B5[8-9]|B6[0,4,6,8]|B7[0-2]|B74[3-9]|B75|B8[2-9]|B9[0-3,5-9]|B94[0,2-9]|G14</t>
  </si>
  <si>
    <t>J[0-22]|H[65-68]|P23|U04</t>
  </si>
  <si>
    <t>J0|J1|J2[0-2]|P23|U04</t>
  </si>
  <si>
    <t>J0[0-6]</t>
  </si>
  <si>
    <t>H6[5-8]</t>
  </si>
  <si>
    <t>O</t>
  </si>
  <si>
    <t>O4[4-6]|O67|O72</t>
  </si>
  <si>
    <t>O8[5-6]</t>
  </si>
  <si>
    <t>O1[0-6]</t>
  </si>
  <si>
    <t>O6[4-6]</t>
  </si>
  <si>
    <t>O0[0-7]</t>
  </si>
  <si>
    <t>O2|O3|O4[0-3,7-9]|O5|O6[0-3,8-9]|O7[0-1,3-5]|O8[7-9]|O9</t>
  </si>
  <si>
    <t>P0[5,7]|P2[2,7-8]</t>
  </si>
  <si>
    <t>P03|P1[0-5]|P2[0-1,4-6,9]</t>
  </si>
  <si>
    <t>P0[0-2,4,8]|P[5-8]|P9[0-6]</t>
  </si>
  <si>
    <t>D5[0-3]|D649|E0[0-2]|E4[0-6]|E5|E6[0-4]</t>
  </si>
  <si>
    <t>E4[06]</t>
  </si>
  <si>
    <t>E0[0-2]</t>
  </si>
  <si>
    <t>E50</t>
  </si>
  <si>
    <t>D50|D649</t>
  </si>
  <si>
    <t>D5[1-3]|E5[1-9]|E6[0-4]</t>
  </si>
  <si>
    <t>C[0-8]|C9[0-7]|D[0-3]|D4[0-8]|D5[5-9]|D6[0-3,5-9]|D64[0-8]|D7|D8|E0[3-7]|E[1,2]|E3[0-4]|E6[5-9]|E7|E8[0-8]|F0[1-9]|F[1-9]|G0[6-9]|G1[0-3,5-9]|G[2-8]|G9[0-8]|H[0-5]|H6[0,1,8,9]|H[7-8]|H9[0-3]|I|J[3-8]|J9[0-8]|K[0-8]|K9[0-2]|L[0-8]|L9[0-8]|M|N[0-5]|N6[0-4]|N7[5-9]|N8|N9[0-8]|Q|R95|X4[1,2,4,5]</t>
  </si>
  <si>
    <t>ICD10</t>
  </si>
  <si>
    <t>A00-B99, G00-G04, N70-N73, J00-J22, H65-H68, O00-O99, P00-P96, E00-E02, E40-E46, E50-E64, D50-D53, D64.9, U04</t>
  </si>
  <si>
    <t>A00-B99, G00, G03-G04, N70-N73</t>
  </si>
  <si>
    <t>A15-A19, B90</t>
  </si>
  <si>
    <t>A50-A64, N70-N73</t>
  </si>
  <si>
    <t>A50-A53</t>
  </si>
  <si>
    <t>A55-A56</t>
  </si>
  <si>
    <t>A57-A58, A60-A64, N70-N73</t>
  </si>
  <si>
    <t>B20-B24</t>
  </si>
  <si>
    <t>B20.0</t>
  </si>
  <si>
    <t>A00, A01, A03, A04, A06-A09</t>
  </si>
  <si>
    <t>A33-A37, B05</t>
  </si>
  <si>
    <t>A33-A35</t>
  </si>
  <si>
    <t>A39, G00, G03</t>
  </si>
  <si>
    <t>A83-A86, B94.1, G04</t>
  </si>
  <si>
    <t>A30, A71, A82, A90-A91, B50-B57, B65, B73, B74.0-B74.2</t>
  </si>
  <si>
    <t>B50-B54, P37.3, P37.4</t>
  </si>
  <si>
    <t>B74.0-B74.2</t>
  </si>
  <si>
    <t>A90-A91</t>
  </si>
  <si>
    <t>J00-J22, H65-H68,P23, U04</t>
  </si>
  <si>
    <t>J09-J22, P23, U04</t>
  </si>
  <si>
    <t>J00-J06</t>
  </si>
  <si>
    <t>H65-H68</t>
  </si>
  <si>
    <t>O00-O99</t>
  </si>
  <si>
    <t>O44-O46, O67, O72</t>
  </si>
  <si>
    <t>O85-O86</t>
  </si>
  <si>
    <t>O10-O16</t>
  </si>
  <si>
    <t>O64-O66</t>
  </si>
  <si>
    <t>O00-O07</t>
  </si>
  <si>
    <t>O20-O43, O47-O63, O68-O71, O73-O75, O87-O99</t>
  </si>
  <si>
    <t>P00-P96 excl P37.3, P37.4</t>
  </si>
  <si>
    <t>P05, P07, P22, P27-P28</t>
  </si>
  <si>
    <t>P03, P10-P15, P20-P21, P24-P26, P29</t>
  </si>
  <si>
    <t>P35-P39 (excluding P37.3, P37.4)</t>
  </si>
  <si>
    <t>P00-P02, P04, P08, P50-P96</t>
  </si>
  <si>
    <t>E00-E02, E40-E46, E50-E64, D50-D53, D64.9</t>
  </si>
  <si>
    <t>E40-E46</t>
  </si>
  <si>
    <t>E00-E02</t>
  </si>
  <si>
    <t>D50, D64.9</t>
  </si>
  <si>
    <t>D51-D53, E51-E64</t>
  </si>
  <si>
    <t>C00-C97</t>
  </si>
  <si>
    <t>C00-C14</t>
  </si>
  <si>
    <t>C15</t>
  </si>
  <si>
    <t>C16</t>
  </si>
  <si>
    <t>C18-C21</t>
  </si>
  <si>
    <t>C22</t>
  </si>
  <si>
    <t>C25</t>
  </si>
  <si>
    <t>C33-C34</t>
  </si>
  <si>
    <t>C43-C44</t>
  </si>
  <si>
    <t>C50</t>
  </si>
  <si>
    <t>C53</t>
  </si>
  <si>
    <t>C54-C55</t>
  </si>
  <si>
    <t>C56</t>
  </si>
  <si>
    <t>C61</t>
  </si>
  <si>
    <t>C67</t>
  </si>
  <si>
    <t>C81-C90, C96</t>
  </si>
  <si>
    <t>C91-C95</t>
  </si>
  <si>
    <t>D00-D48</t>
  </si>
  <si>
    <t>F30-F31</t>
  </si>
  <si>
    <t>F20-F29</t>
  </si>
  <si>
    <t>F40-F44</t>
  </si>
  <si>
    <t>F50</t>
  </si>
  <si>
    <t>F70-F79</t>
  </si>
  <si>
    <t>F01-F03, G06 -G98</t>
  </si>
  <si>
    <t>F01-F03, G30-G31</t>
  </si>
  <si>
    <t>G20-G21</t>
  </si>
  <si>
    <t>G40-G41</t>
  </si>
  <si>
    <t>G35</t>
  </si>
  <si>
    <t>G43</t>
  </si>
  <si>
    <t>G44</t>
  </si>
  <si>
    <t>G06-G12, G23-G25, G36-G37, G45-G98</t>
  </si>
  <si>
    <t>H00-H61, H69-H93</t>
  </si>
  <si>
    <t>H40</t>
  </si>
  <si>
    <t>H25-H26</t>
  </si>
  <si>
    <t>H49-H52</t>
  </si>
  <si>
    <t>H35.3</t>
  </si>
  <si>
    <t>H30-H35 (minus H35.3), H53-H54</t>
  </si>
  <si>
    <t>H90-H91</t>
  </si>
  <si>
    <t>H00-H21, H27, H43-H47, H55-H61, H69-H83, H92-H93</t>
  </si>
  <si>
    <t>I00-I99</t>
  </si>
  <si>
    <t>I01-I09</t>
  </si>
  <si>
    <t>I10-I15</t>
  </si>
  <si>
    <t>I20-I25</t>
  </si>
  <si>
    <t>I60-I69</t>
  </si>
  <si>
    <t>I30-I33, I38, I40, I42</t>
  </si>
  <si>
    <t>I00, I26-I28, I34-I37, I44-I51, I70-I99</t>
  </si>
  <si>
    <t>J30-J98</t>
  </si>
  <si>
    <t>J40-J44</t>
  </si>
  <si>
    <t>J45-J46</t>
  </si>
  <si>
    <t>J30-J39, J47-J98</t>
  </si>
  <si>
    <t>K20-K92</t>
  </si>
  <si>
    <t>K25-K27</t>
  </si>
  <si>
    <t>K70, K74</t>
  </si>
  <si>
    <t>K35-K37</t>
  </si>
  <si>
    <t>N40</t>
  </si>
  <si>
    <t>N20-N23</t>
  </si>
  <si>
    <t>N25-N39, N41-N45, N47-N51</t>
  </si>
  <si>
    <t>N46, N97</t>
  </si>
  <si>
    <t>N60-N64, N75-N76, N80-N96, N98</t>
  </si>
  <si>
    <t>L00-L98</t>
  </si>
  <si>
    <t>M00-M99</t>
  </si>
  <si>
    <t>M05-M06</t>
  </si>
  <si>
    <t>M15-M19</t>
  </si>
  <si>
    <t>M10</t>
  </si>
  <si>
    <t>M45-M48, M50-M54</t>
  </si>
  <si>
    <t>M00, M02, M08, M11-M13, M20-M43, M60-M99</t>
  </si>
  <si>
    <t>Q00-Q99</t>
  </si>
  <si>
    <t>Q00, Q05</t>
  </si>
  <si>
    <t>Q35-Q37</t>
  </si>
  <si>
    <t>Q90</t>
  </si>
  <si>
    <t>Q20-Q28</t>
  </si>
  <si>
    <t>Q91-Q99</t>
  </si>
  <si>
    <t>Q01-Q04, Q06-Q18, Q30-Q34, Q38-Q89</t>
  </si>
  <si>
    <t>K00-K14</t>
  </si>
  <si>
    <t>K05</t>
  </si>
  <si>
    <t>—</t>
  </si>
  <si>
    <t>V01-V04, V06, V09-V80, V87, V89, V99</t>
  </si>
  <si>
    <t>W00-W19</t>
  </si>
  <si>
    <t>X00-X19</t>
  </si>
  <si>
    <t>W65-W74</t>
  </si>
  <si>
    <t>X30-X39</t>
  </si>
  <si>
    <t>X60-Y09, Y35-Y36, Y870, Y871</t>
  </si>
  <si>
    <t>X60-X84, Y870</t>
  </si>
  <si>
    <t>X85-Y09, Y871</t>
  </si>
  <si>
    <t>Y35-Y36</t>
  </si>
  <si>
    <t>ICD9</t>
  </si>
  <si>
    <t>001-001.9, 002.0-030.9, 032-034.9, 036-036.40, 036.5, 036.8-037.9, 039-039.4, 039.8-040, 040.1-041.09, 042-066.9, 070-070.21, 070.3-070.31, 070.4-070.43, 070.49-070.53, 070.59-074.1, 074.20, 074.3-075.9, 078.4-078.7, 079-079.7, 080-083.9, 084.0-084.5, 084.7-084.9, 085.0, 086-088.9, 090-101.6, 104-104.9, 120-124.9, 125.4-125.9, 127-127.1, 128-129.0, 136-136.29, 137-139.0, 244.2, 260-263.9, 265-269.9, 280.1-280.8, 281.0-281.9, 320.0-320.89, 321-323.9, 381-383.9, 390-390.9, 392, 392.9, 461-461.9, 464.0, 464.01, 464.11-464.2, 464.21, 464.31-464.4, 464.8-464.9, 466-469, 470.0, 475-475.9, 476.9, 480-482.89, 483.0-483.9,484.0-484.7, 487-489, 613-614.9, 630-636.92, 638-638.92, 640-679.14, 716.0-716.09, 730.4-730.6, 760-760.64, 760.8-768, 768.2-770, 770.1-775, 775.4-779.34, 779.6-779.89, 787.91</t>
  </si>
  <si>
    <t>010-019.9, 137-137.9, 138.0-138.9, 730.4-730.6</t>
  </si>
  <si>
    <t>054.1, 090-099.9, 613-614.9</t>
  </si>
  <si>
    <t>090-097.9</t>
  </si>
  <si>
    <t>099, 099.1-099.6</t>
  </si>
  <si>
    <t>098-098.9</t>
  </si>
  <si>
    <t>YLD only</t>
  </si>
  <si>
    <t>099.0, 099.8-099.9</t>
  </si>
  <si>
    <t>042-044.9</t>
  </si>
  <si>
    <t>042.0-042.9, 043.0-043.9, 044.1-044.9</t>
  </si>
  <si>
    <t>001-001.9, 003-006.9, 007.4-007.8, 008.01-008.02, 008.04, 008.2-009.9, 787.91</t>
  </si>
  <si>
    <t>033-033.9, 484.3-484.4</t>
  </si>
  <si>
    <t>032-032.9</t>
  </si>
  <si>
    <t>055-055.9, 323.1, 484.0</t>
  </si>
  <si>
    <t>037-037.9, 771.3</t>
  </si>
  <si>
    <t>036-036.40, 036.5, 036.8-036.9, 047-049.9, 320.0-320.89, 321-322.9</t>
  </si>
  <si>
    <t>062-064.9, 139.0, 323, 323.4-323.9</t>
  </si>
  <si>
    <t>084.0-084.5, 084.7-084.9</t>
  </si>
  <si>
    <t>086.3-086.5</t>
  </si>
  <si>
    <t>086-086.2, 086.9</t>
  </si>
  <si>
    <t>120-120.9</t>
  </si>
  <si>
    <t>122-122.4, 122.8-122.9</t>
  </si>
  <si>
    <t>061-061.8</t>
  </si>
  <si>
    <t>060-060.9</t>
  </si>
  <si>
    <t>071-071.9</t>
  </si>
  <si>
    <t>020-029, 034-034.9, 039-039.4, 039.8-040, 040.1-041.09, 045-046.9, 050-051.9, 054-054.0, 054.10-054.9, 056-059.9, 072-073, 073.7-074.1, 074.20, 074.3-075.9, 078.4-078.7, 079-079.7, 080.0, 100-101.6, 104-104.9, 136-136.29, 138, 139, 323.0-323.02, 323.2-323.3, 390-390.9, 392, 392.9, 484.5, 771.0-771.2</t>
  </si>
  <si>
    <t>073.0-073.6, 466-469, 470.0, 480-482.89, 483.0-483.9, 484.1-484.2, 484.6-484.7, 487-489, 461-461.9, 464.0, 464.01, 464.11-464.2, 464.21, 464.31-464.4, 464.8-464.9, 475-475.9, 476.9</t>
  </si>
  <si>
    <t>073.0-073.6, 466-469, 470.0, 480-482.89, 483.0-483.9, 484.1-484.2, 484.6-484.7, 487-489</t>
  </si>
  <si>
    <t>461-461.9, 464.0, 464.01, 464.11-464.2, 464.21, 464.31-464.4, 464.8-464.9, 475-475.9, 476.9</t>
  </si>
  <si>
    <t>381-383.9</t>
  </si>
  <si>
    <t>630-636.92, 638-638.92, 640-679.14</t>
  </si>
  <si>
    <t>640-641.93, 661-661.93, 665, 666-666.9</t>
  </si>
  <si>
    <t>659.3-659.33, 670-670.9</t>
  </si>
  <si>
    <t>642-642.94</t>
  </si>
  <si>
    <t>652-653.93, 660-660.93, 665.0-665.34</t>
  </si>
  <si>
    <t>630-636.92, 638-638.92, 646.3-646.33</t>
  </si>
  <si>
    <t>643-645.23, 650-651.93, 654-659.23, 659.4-659.93, 662-664.94, 665.4-665.94,
667-669.94, 671-673.9, 675-679.14</t>
  </si>
  <si>
    <t>7[6-7]</t>
  </si>
  <si>
    <t>760-760.64, 760.8-768, 768.2-770, 770.1-771, 771.4-775, 775.4-779.34, 779.6-
779.89</t>
  </si>
  <si>
    <t>761.0-761.1, 765-765.9, 769-769.9, 770.2-770.9, 776.6, 777.5-777.6</t>
  </si>
  <si>
    <t>761.7-763.9, 767-768, 768.2-768.9, 770.1-770.18, 772.1-772.9, 779.0-779.2</t>
  </si>
  <si>
    <t>771.4-771.9</t>
  </si>
  <si>
    <t>760-760.64, 760.8-761, 761.2-761.6, 764-764.99, 766-766.9, 770, 771, 772-772.0, 775, 775.4-776.5, 776.7-777.4, 777.7-779, 779.3-779.34, 779.6-779.89</t>
  </si>
  <si>
    <t>244.2, 260-263.9, 265-269.9, 280.1-280.8, 281.0-281.9, 716.0-716.09</t>
  </si>
  <si>
    <t>260-263.9</t>
  </si>
  <si>
    <t>280.1-280.8</t>
  </si>
  <si>
    <t>265-269.9, 281.0-281.9, 716.0-716.09</t>
  </si>
  <si>
    <t>035|0364[1-3]|0366|0702[2-3]|0703[2-3]|07044|07054|0742|10[2-3]|13[3,5]|13661|14[0-8]|15[0-8]|16[0-4]|17[0-5]|18[0-3,5-9]|184[0-4,8]|19[0-4]|21[1-3,7-9]|2[0,2-3,5]|24[0-6]|27[0-3,5-8]|28[2-4,6-9]|29[0-2,4-5]|33[0-7]|34[0-5,9]|353[6-9]|35[6,8-9]|357[0-7]|376[0-1]|391|3920|39[3-8]|40[2-4]|41[0-4,7]|4161|42[0-5,7,9]|43[0-5,7]|44[1-3,6-9]|45[0-7,9]|47[0-4,6-9]|49|50[0-4,6,8-9]|51[5,16-18]|519[0-4]|53|54[0-3]|55[0-3,5-8]|56[0,2,4-6,9]|57[0-7,9]|58[0-3,5,8]|59[0,2-9]|60[1-2,4,8]|6[1,7-8]|62[0-2,9]|68|69[4-5]|707|71[0-1,4]|7288[6,8]|7301|73[2-3]|74|759|760|775[0-3]|779[4-5]|7805[7-9]|786[2-3]|78603|7880|790[2-3]|798|E8590-40|E860</t>
  </si>
  <si>
    <t>14[0-8]|15[0-8]|16[0-4]|17[0-5]|18[0-3]|184[0-4]|1848|18[5-6]|187[1-8]|18[8-9]|19[0-4]|20[1-9]|21[0-3,7,9]|220|221[0-8]|222[0-8]|22[3-8]|229[0,8]|230[1-8]|231[0-2]|232|233[0-2,4-5,7]|2333[1-2]|234[0-8]|235[0,4,6-8]|236[1-2,4-5,7,9]|237[0-3,5-9]|238[0-5]|239[2-4,6]|5690|5694[3-4]|5698[4-5]|610</t>
  </si>
  <si>
    <t>140-148.9, 150-158.9, 160-164.9, 170-175.9, 180-183.8, 184.0-184.4, 184.8,
185-186.9, 187.1-187.8, 188-188.9, 189.0-189.8, 190-194.8, 200-208.92, 209.0-
209.17, 209.21-209.27, 209.31-209.57,209.61, 209.63-209.67, 210.0-210.9, 211.0-211.8, 212.0-212.8, 213-213.9, 217-217.8, 219.0, 220-220.9, 221.0-221.8, 222.0-222.8, 223.0-223.89, 224-228.9, 229.0, 229.8, 230.1-230.8, 231.0-231.2, 232-232.9, 233.0-233.2, 233.31-233.32, 233.4-233.5, 233.7, 234.0-234.8, 235.0, 235.4, 235.6-235.8, 236.1-236.2, 236.4-236.5, 236.7, 236.91-237.3, 237.5-237.9, 238.0-238.5, 239.2-239.4, 239.6, 569.0, 569.43-569.44, 569.84-569.85, 610-610.9</t>
  </si>
  <si>
    <t>140-145.9, 210.0-210.6, 235.0</t>
  </si>
  <si>
    <t>147-147.9, 210.7-210.9</t>
  </si>
  <si>
    <t>146-146.9, 148-148.9</t>
  </si>
  <si>
    <t>150-150.9, 211.0, 230.1</t>
  </si>
  <si>
    <t>151-151.9, 209.23, 209.63, 211.1, 230.2</t>
  </si>
  <si>
    <t>153-154.9, 209.1-209.17, 209.5-209.57,
211.3-211.4, 230.3-230.6</t>
  </si>
  <si>
    <t>155-155.9, 211.5</t>
  </si>
  <si>
    <t>157-157.9, 211.6-211.7</t>
  </si>
  <si>
    <t>162-162.9, 209.21, 209.61, 212.2-212.3, 231.1-231.2, 235.7</t>
  </si>
  <si>
    <t>172-172.9</t>
  </si>
  <si>
    <t>173-173.99, 222.4, 232-232.9, 238.2</t>
  </si>
  <si>
    <t>174-175.9, 217-217.8, 233.0, 238.3, 239.3, 610-610.9</t>
  </si>
  <si>
    <t>180-180.9, 219.0, 233.1</t>
  </si>
  <si>
    <t>182-182.8, 233.2</t>
  </si>
  <si>
    <t>183-183.0, 220-220.9, 236.2</t>
  </si>
  <si>
    <t>185-185.9, 222.2, 236.5</t>
  </si>
  <si>
    <t>186-186.9, 222.0, 222.3, 236.4</t>
  </si>
  <si>
    <t>189.0-189.1, 209.24, 209.64, 223.0-223.1, 236.91</t>
  </si>
  <si>
    <t>188-188.9, 223.3, 233.7, 236.7, 239.4</t>
  </si>
  <si>
    <t>191-192.9</t>
  </si>
  <si>
    <t>156-156.9, 209.25-209.27, 209.65-209.67</t>
  </si>
  <si>
    <t>161-161.9, 212.1, 231.0, 235.6</t>
  </si>
  <si>
    <t>193-193.9, 226-226.9</t>
  </si>
  <si>
    <t>158.9, 163-163.9, 212.4</t>
  </si>
  <si>
    <t>201-201.98, 200-200.9, 202-202.98, 203-203.9</t>
  </si>
  <si>
    <t>201-201.98</t>
  </si>
  <si>
    <t>200-200.9, 202-202.98</t>
  </si>
  <si>
    <t>203-203.9</t>
  </si>
  <si>
    <t>204-208.92</t>
  </si>
  <si>
    <t>15[2,8]|16[0-4]|17[0-1]|181|1829|183[2-8]|184[0-4]|1848|187[1-8]|189[2-8]|190|19[0,4]|209|211[2,8]|212[0,5-8]|213|221[0-8]|222[1-8]|223[2,8]|22[4-5,7-8]|229[0,8]|230[7-8]|2333[1-2]|233[4-5]|234[0-8]|235[4,8]|236|23699|237|238[0-1,4-5]|239[2,6]|5690|5694[3-4]|5698[4-5]</t>
  </si>
  <si>
    <t>152-152.9, 158-158.8, 160-160.9, 164-164.9, 170-171.9, 181-181.9, 182.9, 183.2-183.8, 184.0-184.4, 184.8, 187.1-187.8, 189.2-189.8, 190-190.9, 194-194.8, 209.0-209.03, 209.22, 209.31-209.43, 211.2, 211.8, 212.0, 212.5-212.8, 213-213.9, 221.0-221.8, 222.1, 222.8, 223.2, 223.8-223.89, 224-225.9, 227-228.9, 229.0, 229.8, 230.7-230.8, 233.31-233.32, 233.4-233.5, 234.0-234.8, 235.4, 235.8, 236.1, 236.99-237.3, 237.5-237.9, 238.0-238.1, 238.4-238.5, 239.2, 239.6, 569.0, 569.43-569.44, 569.84-569.85</t>
  </si>
  <si>
    <t>250|3572|775[0,1]|7902</t>
  </si>
  <si>
    <t>250-250.39, 250.5-250.99, 357.2, 775.0-775.1, 790.2-790.22</t>
  </si>
  <si>
    <t>282.4-282.49</t>
  </si>
  <si>
    <t>282.6-282.68</t>
  </si>
  <si>
    <t>282-282.1, 282.69-284.9</t>
  </si>
  <si>
    <t>240-243.9, 244.0-244.1, 244.3-244.8, 245-246.9, 251-256.39, 256.8-259.9, 270-
273.9, 275-276, 277-277.2, 277.4-277.9, 278.0-278.8, 286-286.5, 286.7-289.7,
349.0-349.1, 357.6, 518.7, 519.0-519.09, 536.4-536.49, 539-539.9, 551.2-551.29, 552.2-552.29, 564.2-564.4, 569.6-569.69, 579.3, 596.82-596.83, 598.2, 775.3, 779.4-779.5, 780.62-780.63</t>
  </si>
  <si>
    <t>29[1-2,5]|30[3-5,7]|7607|78059|7903|E85[0-4]|E860</t>
  </si>
  <si>
    <t>291-292.9, 295-295.95, 303-303.93, 304.0-304.83, 305-305.93, 307.1, 307.51,
307.54, 357.5, 760.7-760.79, 780.59, 790.3, E850-E850.29, E850.9-E854.39,
E860-E860.19</t>
  </si>
  <si>
    <t>295-295.95</t>
  </si>
  <si>
    <t>291-291.9, 303-303.93, 305.0-305.03, 357.5, 790.3, E860-E860.19</t>
  </si>
  <si>
    <t>292-292.9, 304.0-304.83, 305, 305.1-305.93, 760.7-760.79, E850-E850.29,
E850.9-E854.39</t>
  </si>
  <si>
    <t>304.0-304.03, 305.5-305.53, E850.0-E850.29</t>
  </si>
  <si>
    <t>304.2-304.23, 305.6-305.63</t>
  </si>
  <si>
    <t>304.4-304.43, 305.7-305.73</t>
  </si>
  <si>
    <t>292-292.9, 304.1-304.13, 304.5-304.83, 305, 305.1-305.13, 305.3-305.43, 305.8-305.93</t>
  </si>
  <si>
    <t>307.1, 307.51, 307.54</t>
  </si>
  <si>
    <t>RegEx should exclude G99?</t>
  </si>
  <si>
    <t>290-290.9, 294.1-294.9, 330-331.2, 331.5-337.9, 340-341.9, 345-345.91, 349, 349.2-349.8, 353.6-353.9, 356-356.9, 357.0-357.1, 357.3-357.4, 357.7, 358-359.9, 728.86, 728.88, 775.2</t>
  </si>
  <si>
    <t>290-290.9, 294.1-294.9, 331-331.2</t>
  </si>
  <si>
    <t>332-332.9</t>
  </si>
  <si>
    <t>345-345.91</t>
  </si>
  <si>
    <t>340-340.9</t>
  </si>
  <si>
    <t>330-330.9, 331.5-331.9, 333-334.9, 335.3, 336-337.9, 341-341.9, 349, 349.2-349.8, 353.6-353.9, 356-356.9, 357.0-357.1, 357.3-357.4, 357.7, 358-359.9, 728.86, 728.88, 775.2</t>
  </si>
  <si>
    <t>seems this works?:    H[0-5,6[0-1],69,[7-8],9[0-3]]</t>
  </si>
  <si>
    <t>Does this get H09?, say</t>
  </si>
  <si>
    <t>036.41-036.43, 036.6, 074.2, 074.21-
074.23, 391-391.9, 392.0, 393-398.99,
402-402.91, 410-414.9, 417-417.9, 420-
423, 423.1-425.9, 427-427.32, 427.6-
427.89, 429.0-429.1, 430-435.9, 437.0-
437.2, 437.5-437.8, 441-443.9, 447-454.9,
456, 456.3-457.9, 459, 459.1-459.39</t>
  </si>
  <si>
    <t>391-391.9, 392.0, 393-398.99</t>
  </si>
  <si>
    <t>402-402.91</t>
  </si>
  <si>
    <t>410-414.9</t>
  </si>
  <si>
    <t>430-435.9, 437.0-437.2, 437.5-437.8</t>
  </si>
  <si>
    <t>036.43, 036.6, 074.23, 422-422.99, 425-425.9, 429.0-429.1</t>
  </si>
  <si>
    <t>036.41, 074.2, 074.21, 417-417.9, 420-420.99, 423, 423.1-424.8, 424.99, 427-
427.2, 427.6-427.89, 442-443, 447-454.9, 456, 456.3-457.9, 459, 459.1-459.39</t>
  </si>
  <si>
    <t>135-135.9, 136.6, 327.2-327.8, 470, 470.9-474.9, 476-476.1, 477-479, 490-504.9, 506-506.9, 508-509, 515, 516-517.8, 518.6, 518.9, 519.1-519.4, 780.57, 786.03</t>
  </si>
  <si>
    <t>490-492.9, 494-494.9, 496-499</t>
  </si>
  <si>
    <t>493-493.92</t>
  </si>
  <si>
    <t>327.2-327.8, 470, 470.9-474.9, 476-476.1, 477-479, 495-495.9, 506-506.9, 508-509, 517-517.8, 518.6, 518.9, 519.1-519.4, 780.57, 786.03</t>
  </si>
  <si>
    <t>455-455.9, 530-536.1, 537-537.6, 537.8-537.84, 538, 540-543.9, 550-551.1, 551.3-552.1, 552.3-553.6, 555-558.9, 560-560.39, 560.8-560.9, 562-562.13, 564-564.1, 564.5-564.7, 565-566.9, 569.1-569.42, 569.5, 569.7-569.71, 573.4, 574-577.9, 579-579.2, 579.4-579.9, 787.1</t>
  </si>
  <si>
    <t>531-534.91</t>
  </si>
  <si>
    <t>070.22-070.23, 070.32-070.33, 070.44, 070.54, 456.0-456.21, 571-571.9, 572.3-
572.9, 573.0-573.3, 573.8-573.9</t>
  </si>
  <si>
    <t>540-542.9</t>
  </si>
  <si>
    <t>535-535.9</t>
  </si>
  <si>
    <t>560-560.39, 560.8-560.9</t>
  </si>
  <si>
    <t>555-556.9, 558-558.9, 569.5</t>
  </si>
  <si>
    <t>574-576.9</t>
  </si>
  <si>
    <t>577-577.9, 579.4</t>
  </si>
  <si>
    <t>455-455.9, 530-530.9, 536-536.1, 537-537.6, 537.8-537.84, 538, 543-543.9,
553.1-553.3, 562-562.13, 564-564.1, 564.5-564.7, 565-566.9, 569.1-569.42, 569.7-569.71, 573.4, 579-579.2, 579.8-579.9, 787.1</t>
  </si>
  <si>
    <t>250.4-250.49, 403-404.93, 581-583.9, 585-585.9, 589-589.9</t>
  </si>
  <si>
    <t>580-580.9</t>
  </si>
  <si>
    <t>250.4-250.49</t>
  </si>
  <si>
    <t>589-589.9</t>
  </si>
  <si>
    <t>592-592.9, 594-594.9, 788.0</t>
  </si>
  <si>
    <t>218-219, 219.1-219.9, 236.0, 256.4, 617-618.9, 620-620.9, 621.4-621.9, 622.3-
622.7, 629-629.81</t>
  </si>
  <si>
    <t>035|10[2-3]|133|68|69[4-5]|707</t>
  </si>
  <si>
    <t>035-035.9, 102-103.9, 133-133.6, 680-689, 694-695.3, 707-707.9</t>
  </si>
  <si>
    <t>416.1, 437.4, 446-446.9, 695.4-695.59, 710-711.99, 714-714.33, 714.8-714.9,
730.1-730.19, 732-732.9, 733.0-733.19</t>
  </si>
  <si>
    <t>714-714.33, 714.8-714.9</t>
  </si>
  <si>
    <t>416.1, 437.4, 446-446.9, 695.4-695.59, 710-711.99, 730.1-730.19, 732-732.9,
733.0-733.19</t>
  </si>
  <si>
    <t>7[4-5]</t>
  </si>
  <si>
    <t>740-749.04, 749.2-758.9, 759.0-759.89</t>
  </si>
  <si>
    <t>740-741.93, 742.0</t>
  </si>
  <si>
    <t>749-749.04, 749.2-749.25</t>
  </si>
  <si>
    <t>745-747.9</t>
  </si>
  <si>
    <t>742, 742.1-744.9, 748-748.9, 749.6-757.9, 759.0-759.89</t>
  </si>
  <si>
    <t>E800[0-3]|E801[0-3]|E802[0-3]|E803[0-3]|E804[0-3]|E805[0-3]|E806[0-3]|E807[0-3]|E810[0-7]|E811[0-7]|E12[0-7]|813[0-7]|E814[0-7]|E815[0-7]|E816[0-7]|E817[0-7]|E18[0-7]|E819[0-7]|E820[0-7]|E821[0-7]|E822[0-7]|E823[0-7]|E824[0-7]|E825[0-7]|E826[0-4]|E827[0-4]|E828[0-4]|E829[0-4]|E8[3-4]|E850[3-8]|E8548|E856|E857|E860[2-9]|E86[3-9]|E87[0-6,8-9]|E88[0-6,8-9]|E89|E9[0-1]|E92[0-8]|E929[2-5]|E9[3-7]|E99[0-8]|E999[0-8]</t>
  </si>
  <si>
    <t>E850.3-E850.89, E854.8, E856-E857.09,
E860.2-E869.99, E870-E876.9, E878-
E879.9, E880-E886.99, E888-E906.99,
E910-E928.89, E929.2-E929.5, E930-
E949.9</t>
  </si>
  <si>
    <t>E800.3, E801.3, E802.3, E803.3, E804.3, E805.3, E806.3, E807.3, E810.0-E810.6,
E811.0-E811.7, E812.0-E812.7, E813.0-E813.7, E814.0-E814.7, E815.0-E815.7,
E816.0-E816.7, E817.0-E817.7, E818.0-E818.7, E819.0-E819.7, E820.0-E820.6,
E821.0-E821.6, E822.0-E822.7, E823.0-E823.7, E824.0-E824.7, E825.0-E825.7,
E826.0-E826.1, E826.3-E826.4, E827.0, E827.3-E827.4, E828.0, E828.4, E829.0-
E829.4</t>
  </si>
  <si>
    <t>E850.3-E850.89, E854.8, E856-E857.09, E860.2-E869.99, E929.2</t>
  </si>
  <si>
    <t>E880-E886.99, E888-E888.9, E929.3</t>
  </si>
  <si>
    <t>E890-E899.09, E924-E924.99, E929.4</t>
  </si>
  <si>
    <t>E910-E910.99</t>
  </si>
  <si>
    <t>E913-E913.19, E916-E922.99, E928.1-E928.7</t>
  </si>
  <si>
    <t>E903-E904.99, E913.2-E913.39, E923-E923.99, E925-E925.99, E927-E928.09,
E928.8-E928.89</t>
  </si>
  <si>
    <t>E9[5-6]</t>
  </si>
  <si>
    <t>E950-E969</t>
  </si>
  <si>
    <t>E950-E959</t>
  </si>
  <si>
    <t>E960-E969</t>
  </si>
  <si>
    <t>6. Inflammatory bowel disease</t>
  </si>
  <si>
    <t>a. Opioid use disorders</t>
  </si>
  <si>
    <t>b. Cocaine use disorders</t>
  </si>
  <si>
    <t>00|0[1-2,4-5]|03[0,2-4,6-7,9]|06[0-6]|07[0-5,8-9]|08[0-3,6-8]|084[0-5,7-9]|0850|09|10[0-1,4]|12[0-4,7-9]|125[4-9]|13[6-9]|2442|26[0-3,5-9]|280[1-8]|281|32[0-3]|38[1-3]|39[0,2]|46[1,4,6-9]|47[0,5]|4769|48[0-4,7-9]|61[3-4]|63[0-6,8]|6[4-7]|716|730[4-6]|7[6-7]|78791</t>
  </si>
  <si>
    <t>010-019.9, 042-044.9, 137-137.9, 138.0-138.9, 730.4-730.6, 001-001.9, 003-006.9, 007.4-007.8, 008.01-008.02, 008.04, 008.2-009.9, 787.91, 002.0-002.9, 007-007.3, 007.9-008.00, 008.03, 008.09-008.10, 381-383.9, 036-036.40, 036.5, 036.8-036.9, 047-049.9, 320.0-320.89, 321-322.9, 062-064.9, 139.0, 323, 323.4-323.9, 032-32.9, 033-033.9, 484.3-484.4, 037-037.9, 771.3, 055-055.9, 323.1, 484.0, 052-053.9, 030-030.9, 060-061.8, 065-066.9, 071-071.9, 080, 080.2-083.9, 084.0-084.5, 084.7-084.9, 085.0, 086-088.9, 120-124.9, 125.4-125.9, 127-127.1, 128-129.0</t>
  </si>
  <si>
    <t>01|04[2-3]|13[7-9]|730[4-6]|00|38[1-3]|036|04[7-9]|32[0-3]|06|03[0,2-3,7]|484[0,3-4]|7713|05[2-3,5]|071|08[0-8]|12</t>
  </si>
  <si>
    <t>073[0-6]|46[1-4,6-9]|4700|48|461|4640[0-1]|475|4769</t>
  </si>
  <si>
    <t>63[0-6,8]|6[4-7]</t>
  </si>
  <si>
    <t>2442|26[0-3,5-9]|28[0-1]|7160</t>
  </si>
  <si>
    <t>E850[3-8]|E8548|E856|E8570]|E86|E87[0-6,8-9]|E88[0-6,8-9]|E890699|E90[0-6]|E9[1,3-4]|E92[0-8]|E929[2-5]</t>
  </si>
  <si>
    <t>4161|4374|466|695[4-5]|71[0-1,4]|7301|732|733[0-1]</t>
  </si>
  <si>
    <t xml:space="preserve">580-580.9, 250.4-250.49, 589-589.9, 588-588.9, 592-592.9, 594-594.9, 788.0, 593.89, 596-596.81, 596.89-596.9, 598-598.1, 598.8-599, 599.1-599.69, 599.8-599.89, 601-602.9, 604-604.99, 608.2-608.24 </t>
  </si>
  <si>
    <t>2504|58[0,8-9]|59[2,4,6,8-9]|7880|59389|60[1-2,4]|6082</t>
  </si>
  <si>
    <t>135|1366|327[2-8]|47[0-4,6-9]|49|50[0-4,6,8-9]|51[5-7]|518[6,9]|519[1-4]|78057|78603</t>
  </si>
  <si>
    <t>0364[1-3]|0366|0742|3920|39[1,3-8]|402|41[0-4,7]|42[3-5,7,9]|43[0-5,7]|44[1-3,7-9]|45[0-4,6-7,9]</t>
  </si>
  <si>
    <t>455|53[0-8]|54[0-3]|55[0-3,5-8]|56[0,2,4-6,9]|5734|57[4-7,9]|7871</t>
  </si>
  <si>
    <t>29[0,4]|33[0-7]|34[0-1,5,9]|353[6-9]|357[0-1,3-4,7]|35[6,8-9]|7288[6-8]|7752</t>
  </si>
  <si>
    <t>282-284.9</t>
  </si>
  <si>
    <t>28[2-4]</t>
  </si>
  <si>
    <t>a. HIV resulting in TB</t>
  </si>
  <si>
    <t>b. HIV resulting in other diseases</t>
  </si>
  <si>
    <t>8. Hepatitis</t>
  </si>
  <si>
    <t>a. Acute hepatitis A</t>
  </si>
  <si>
    <t>b. Acute hepatitis B</t>
  </si>
  <si>
    <t>c. Acute hepatitis C</t>
  </si>
  <si>
    <t>d. Acute hepatitis E</t>
  </si>
  <si>
    <t>9. Parasitic and vector diseases</t>
  </si>
  <si>
    <t>h. Cysticercosis</t>
  </si>
  <si>
    <t>i. Echinococcosis</t>
  </si>
  <si>
    <t>d. Food-bourne trematodes</t>
  </si>
  <si>
    <t>5. Other nutritional deficiencies</t>
  </si>
  <si>
    <t>a. Lip and oral cavity</t>
  </si>
  <si>
    <t>b. Nasophayrnx</t>
  </si>
  <si>
    <t>c. Other pharynx</t>
  </si>
  <si>
    <t>a. Malignant skin melanoma</t>
  </si>
  <si>
    <t>b. Non-melanoma skin cancer</t>
  </si>
  <si>
    <t>14. Testicular cancer</t>
  </si>
  <si>
    <t>15. Kidney, renal pelvis and ureter cancer</t>
  </si>
  <si>
    <t>16. Bladder cancer</t>
  </si>
  <si>
    <t>17. Brain and nervous system cancers</t>
  </si>
  <si>
    <t>18. Gallbladder and biliary tract cancer</t>
  </si>
  <si>
    <t>19. Larynx cancer</t>
  </si>
  <si>
    <t>20. Thyroid cancer</t>
  </si>
  <si>
    <t>21. Mesothelioma</t>
  </si>
  <si>
    <t>22. Lymphomas, multiple myeloma</t>
  </si>
  <si>
    <t>a. Hodgkin lymphoma</t>
  </si>
  <si>
    <t>b. Non-Hodgkin lymphoma</t>
  </si>
  <si>
    <t>c. Multiple myeloma</t>
  </si>
  <si>
    <t>23. Leukaemia</t>
  </si>
  <si>
    <t>24. Other malignant neoplasms</t>
  </si>
  <si>
    <t>1. Thalassaemias</t>
  </si>
  <si>
    <t>2. Sickle cell disorders and trait</t>
  </si>
  <si>
    <t>3. Other haemoglobinopathies and haemolytic anaemias</t>
  </si>
  <si>
    <t>4. Other endocrine, blood and immune disorders</t>
  </si>
  <si>
    <t>E. Mental and substance use disorders</t>
  </si>
  <si>
    <t>1. Depressive disorders</t>
  </si>
  <si>
    <t>a. Major depressive disorder</t>
  </si>
  <si>
    <t>b. Dysthymia</t>
  </si>
  <si>
    <t>2. Bipolar disorder</t>
  </si>
  <si>
    <t>c. Amphetamine use disorders</t>
  </si>
  <si>
    <t>d. Cannabis use disorders</t>
  </si>
  <si>
    <t>e. Other drug use disorders</t>
  </si>
  <si>
    <t>8. Autism and Asperger syndrome</t>
  </si>
  <si>
    <t>a. Attention deficit/hyperactivity syndrome</t>
  </si>
  <si>
    <t>b. Conduct disorder</t>
  </si>
  <si>
    <t>1. Alzheimer disease and other dementias</t>
  </si>
  <si>
    <t>3. Uncorrected refractive errors</t>
  </si>
  <si>
    <t>4. Gastritis and duodenitis</t>
  </si>
  <si>
    <t>5. Paralytic ileus and intestinal obstruction</t>
  </si>
  <si>
    <t>7. Gallbladder and biliary diseases</t>
  </si>
  <si>
    <t>8. Pancreatitis</t>
  </si>
  <si>
    <t>9. Other digestive diseases</t>
  </si>
  <si>
    <t>a. Acute glomerulonephritis</t>
  </si>
  <si>
    <t>b. Chronic kidney disease due to diabetes</t>
  </si>
  <si>
    <t>c. Other chronic kidney disease</t>
  </si>
  <si>
    <t>2. Benign prostatic hyperplasia</t>
  </si>
  <si>
    <t>4. Other urinary diseases</t>
  </si>
  <si>
    <t>4. Other oral disorders</t>
  </si>
  <si>
    <t>5. Drowning</t>
  </si>
  <si>
    <t>6. Exposure to mechanical forces</t>
  </si>
  <si>
    <t>7. Natural disasters</t>
  </si>
  <si>
    <t>8. Other unintentional injuries</t>
  </si>
  <si>
    <t>L1</t>
  </si>
  <si>
    <t>L2</t>
  </si>
  <si>
    <t>L3</t>
  </si>
  <si>
    <t>L4</t>
  </si>
  <si>
    <t>F1</t>
  </si>
  <si>
    <t>F2</t>
  </si>
  <si>
    <t>F3</t>
  </si>
  <si>
    <t>F4</t>
  </si>
  <si>
    <t>A30</t>
  </si>
  <si>
    <t>Leprosy</t>
  </si>
  <si>
    <t>regEx10</t>
  </si>
  <si>
    <t>regEx9</t>
  </si>
  <si>
    <t>gbdCode</t>
  </si>
  <si>
    <t>nameOutline</t>
  </si>
  <si>
    <t>name</t>
  </si>
  <si>
    <t>list36</t>
  </si>
  <si>
    <t>C[0-8]|C9[0-7]</t>
  </si>
  <si>
    <t>C0|C1[0-4]</t>
  </si>
  <si>
    <t>C0[0-8]</t>
  </si>
  <si>
    <t>C11</t>
  </si>
  <si>
    <t>C09|C1[0,2-4]</t>
  </si>
  <si>
    <t>C1[8-9]|C2[0-1]</t>
  </si>
  <si>
    <t>C3[3-4]</t>
  </si>
  <si>
    <t>C4[3-4]</t>
  </si>
  <si>
    <t>C43</t>
  </si>
  <si>
    <t>C44</t>
  </si>
  <si>
    <t>C5[4-5]</t>
  </si>
  <si>
    <t>C62</t>
  </si>
  <si>
    <t>C6[4-6]</t>
  </si>
  <si>
    <t>C7[0-2]</t>
  </si>
  <si>
    <t>C2[3-4]</t>
  </si>
  <si>
    <t>C32</t>
  </si>
  <si>
    <t>C73</t>
  </si>
  <si>
    <t>C45</t>
  </si>
  <si>
    <t>C8[1-9]|C9[0,6]</t>
  </si>
  <si>
    <t>C81</t>
  </si>
  <si>
    <t>C8[2-6]|C96</t>
  </si>
  <si>
    <t>C88|C90</t>
  </si>
  <si>
    <t>C9[1-5]</t>
  </si>
  <si>
    <t>C17|C2[6-9]|C3[0-1,7-9]|C4[0-1,6-9]|C5[1-2,7-9]|C6[0,3,8,9]|C7[4-9]|C80|C97</t>
  </si>
  <si>
    <t>D[0-3]|D4[0-8]</t>
  </si>
  <si>
    <t>E10[0-1,3-9]|E1[0-1,3-9]|E12[0-1,3-9]|E13[0-1,3-9]|E14[0-1,3-9]</t>
  </si>
  <si>
    <t>D56</t>
  </si>
  <si>
    <t>D57</t>
  </si>
  <si>
    <t>D5[5,8-9]</t>
  </si>
  <si>
    <t>D6[0-3,5-9]|D64[0-8]|D[7-8]|E0[3-7]|E1[5-9]|E2|E3[0-4]|E6[5-9]|E7|E8[0-8]</t>
  </si>
  <si>
    <t>F0[4-9]|F[1-9]|G721|Q860|X4[1,2,5]</t>
  </si>
  <si>
    <t>F3[2-3]|F341</t>
  </si>
  <si>
    <t>F3[2-3]</t>
  </si>
  <si>
    <t>F341</t>
  </si>
  <si>
    <t>F3[0-1]</t>
  </si>
  <si>
    <t>F1[1-6,8-9]|X4[1-2,4]</t>
  </si>
  <si>
    <t>F11|X42|X44</t>
  </si>
  <si>
    <t>F14</t>
  </si>
  <si>
    <t>F15</t>
  </si>
  <si>
    <t>F12</t>
  </si>
  <si>
    <t>F1[3,6,8,9]|X41</t>
  </si>
  <si>
    <t>F4[0-4]</t>
  </si>
  <si>
    <t>F84</t>
  </si>
  <si>
    <t>F9[0-2]</t>
  </si>
  <si>
    <t>F90</t>
  </si>
  <si>
    <t>F9[1-2]</t>
  </si>
  <si>
    <t>F7</t>
  </si>
  <si>
    <t>F0[4-9]|F17|F34[0,2-9]|F3[5-9]|F4[5-8]|F5[1-9]|F6|F8[0-3,8-9]|F9[3-9]</t>
  </si>
  <si>
    <t>F0[1-3]|G0[6-9]|G[1-8]|G9[0-8]</t>
  </si>
  <si>
    <t>F0[1-3]|G3[0-1]</t>
  </si>
  <si>
    <t>G2[0-1]</t>
  </si>
  <si>
    <t>G4[0-1]</t>
  </si>
  <si>
    <t>G0[6-9]|G1[0-2]|G2[3-5]|G3[6-7]|G4[5-9]|G[5-8]|G9[0-8]</t>
  </si>
  <si>
    <t>H[0-5,7,8]|H6[0,1,9]|H9[0-3]</t>
  </si>
  <si>
    <t>H2[5-6]</t>
  </si>
  <si>
    <t>H49|H5[0-2]</t>
  </si>
  <si>
    <t>H353</t>
  </si>
  <si>
    <t>H3[0-2,4-5]|H35[0-2,4-9]</t>
  </si>
  <si>
    <t>H9[0-1]</t>
  </si>
  <si>
    <t>H0|H1|H2[0-1,7]|H4[3-7]|H5[5-9]|H6[0-1,9]|H7|H8[0-3]|H9[2-3]</t>
  </si>
  <si>
    <t>I</t>
  </si>
  <si>
    <t>I0</t>
  </si>
  <si>
    <t>I1[0-5]</t>
  </si>
  <si>
    <t>I2[0-5]</t>
  </si>
  <si>
    <t>I6</t>
  </si>
  <si>
    <t>I3[0-3,8]|I40|I42</t>
  </si>
  <si>
    <t>I00|I2[6-8]|I3[4-7]|I4[4-9]|I5[0-1]|I[7-9]</t>
  </si>
  <si>
    <t>J[3-8]|J9[0-8]</t>
  </si>
  <si>
    <t>J4[0-4]</t>
  </si>
  <si>
    <t>J4[5-6]</t>
  </si>
  <si>
    <t>J[3,5-8]|J4[7-9]|J9[0-8]</t>
  </si>
  <si>
    <t>K[2-8]|K9[0-2]</t>
  </si>
  <si>
    <t>K2[5-7]</t>
  </si>
  <si>
    <t>K7[0,4]</t>
  </si>
  <si>
    <t>K3[5-7]</t>
  </si>
  <si>
    <t>K29</t>
  </si>
  <si>
    <t>K56</t>
  </si>
  <si>
    <t>K5[0-2]|K580</t>
  </si>
  <si>
    <t>K8[0-3]</t>
  </si>
  <si>
    <t>K8[5-6]</t>
  </si>
  <si>
    <t>K2[0-2,8]|K3[0-1,8]|K4[0-6]|K5[5,7,9]|K589|K6[0-6]|K7[1-3,5-6]|K9[0-2]</t>
  </si>
  <si>
    <t>E102|E112|E122|E132|E142|N[0-1]</t>
  </si>
  <si>
    <t>N0[0-1]</t>
  </si>
  <si>
    <t>E102|E112|E122|E132|E142</t>
  </si>
  <si>
    <t>N2[0-3]</t>
  </si>
  <si>
    <t>N2[5-9]|N3|N4[1-5,7-9]|N5[0-1]</t>
  </si>
  <si>
    <t>N46|N97</t>
  </si>
  <si>
    <t>N6[0-4]|N7[5-6]|N8|N9[0-6,8]</t>
  </si>
  <si>
    <t>L</t>
  </si>
  <si>
    <t>M</t>
  </si>
  <si>
    <t>M0[5-6]</t>
  </si>
  <si>
    <t>M1[5-9]</t>
  </si>
  <si>
    <t>M4[5-8]|M5[0-4]</t>
  </si>
  <si>
    <t>M0[0,2,8]|M1[1-3]|M[2-3,6-9]|M4[0-3]</t>
  </si>
  <si>
    <t>Q[0-7,9]|Q8[0-5,7-9]|Q86[1-9]</t>
  </si>
  <si>
    <t>Q0[0,5]</t>
  </si>
  <si>
    <t>Q3[5-7]</t>
  </si>
  <si>
    <t>Q2[0-8]</t>
  </si>
  <si>
    <t>Q9[1-9]</t>
  </si>
  <si>
    <t>Q0[1-4,6-9]|Q1[0-8]|Q3[0-4,8-9]|Q[4-7]|Q8[0-5,7-9]|Q86[1-9]</t>
  </si>
  <si>
    <t>K0|K1[0-4]</t>
  </si>
  <si>
    <t>K02</t>
  </si>
  <si>
    <t>-</t>
  </si>
  <si>
    <t>K0[0-1,3-4,6-9]|K1[0-4]</t>
  </si>
  <si>
    <t>V0[1-4,6,9]|V[1-7]|V8[0,7,9]|V99</t>
  </si>
  <si>
    <t>W[0-1]</t>
  </si>
  <si>
    <t>X[0-1]</t>
  </si>
  <si>
    <t>W6[5-9]|W7[0-4]</t>
  </si>
  <si>
    <t>X3</t>
  </si>
  <si>
    <t>X[6-9]|Y0|Y3[5-6]|Y87[0-1]</t>
  </si>
  <si>
    <t>X[6-7]|X8[0-4]|Y870</t>
  </si>
  <si>
    <t>X8[5-9]|X9|Y0|Y871</t>
  </si>
  <si>
    <t>Y3[5-6]</t>
  </si>
  <si>
    <t>nameOnly</t>
  </si>
  <si>
    <t>10. Intestinal nematode infections</t>
  </si>
  <si>
    <t>11. Other infectious diseases</t>
  </si>
  <si>
    <t>Note: RegEx9 highlights indicate researcher-created aggregates</t>
  </si>
  <si>
    <t>Other oral disorders</t>
  </si>
  <si>
    <t>Other genitourinary disorders</t>
  </si>
  <si>
    <t>Benign prostatic hyperplasia</t>
  </si>
  <si>
    <t>Exposure to mechanical forces</t>
  </si>
  <si>
    <t>Natural disasters</t>
  </si>
  <si>
    <t>8. Other intentional injuries</t>
  </si>
  <si>
    <t>d. Actute hepatitis E</t>
  </si>
  <si>
    <t>j. Leprosy</t>
  </si>
  <si>
    <t>k. Dengue</t>
  </si>
  <si>
    <t>l. Trachoma</t>
  </si>
  <si>
    <t xml:space="preserve">m. Yellow </t>
  </si>
  <si>
    <t>m. Yellow fever</t>
  </si>
  <si>
    <t>n. Rabies</t>
  </si>
  <si>
    <t>d. Food-borne trematodes</t>
  </si>
  <si>
    <t>b. Nasopharynx</t>
  </si>
  <si>
    <t>Gallbadder and biliary tract cancer</t>
  </si>
  <si>
    <t>Larynx cancer</t>
  </si>
  <si>
    <t>Thyroid cancer</t>
  </si>
  <si>
    <t>Mesothelioma</t>
  </si>
  <si>
    <t>Hodgkin lymphoma</t>
  </si>
  <si>
    <t>Non-Hodgkin lymphoma</t>
  </si>
  <si>
    <t>Multiple myeloma</t>
  </si>
  <si>
    <t>22. Lymphomas and multiple myeloma</t>
  </si>
  <si>
    <t>14. Other malignant neoplasms</t>
  </si>
  <si>
    <t>Mental and substance use disorders</t>
  </si>
  <si>
    <t>Dsythmia</t>
  </si>
  <si>
    <t>Bipolar disorder</t>
  </si>
  <si>
    <t>Opioid use disorders</t>
  </si>
  <si>
    <t>Cocaine use disorders</t>
  </si>
  <si>
    <t>Amphetamine use disorders</t>
  </si>
  <si>
    <t>Cannabis use disorders</t>
  </si>
  <si>
    <t>Other drug use disorders</t>
  </si>
  <si>
    <t>Austism and Asperger syndrome</t>
  </si>
  <si>
    <t>Childhood behavioural disorders</t>
  </si>
  <si>
    <t>Attention deficit/hyperactivity syndrome</t>
  </si>
  <si>
    <t>Conduct disorder</t>
  </si>
  <si>
    <t>8. Austism and Asperger syndrome</t>
  </si>
  <si>
    <t>Gastritis and duodenitis</t>
  </si>
  <si>
    <t>Paralytic ileus and intestinal obstruction</t>
  </si>
  <si>
    <t>Inflammatory bowel disease</t>
  </si>
  <si>
    <t>Gallbladder and biliary diseases</t>
  </si>
  <si>
    <t>Pancreatis</t>
  </si>
  <si>
    <t>8. Pancreatis</t>
  </si>
  <si>
    <t>Acute glomerulonephritis</t>
  </si>
  <si>
    <t>Chronic kidney diesease due to diabetes</t>
  </si>
  <si>
    <t>Other chronic kidney disease</t>
  </si>
  <si>
    <t>b. Chronic kidney diesease due to diabetes</t>
  </si>
  <si>
    <t>Injuries</t>
  </si>
  <si>
    <t>notes</t>
  </si>
  <si>
    <t>http://www.who.int/healthinfo/global_burden_disease/GlobalDALYmethods_2000_2015.pdf</t>
  </si>
  <si>
    <t>indicator for mutually exclusive and exhaustive list of high-level conditions</t>
  </si>
  <si>
    <t>coded by Michael Samuel, California Department of Public Health</t>
  </si>
  <si>
    <t>ICD10 codes lists per WHO 2017, above</t>
  </si>
  <si>
    <t>columnName</t>
  </si>
  <si>
    <t>meaning</t>
  </si>
  <si>
    <t>reference</t>
  </si>
  <si>
    <t>tbd</t>
  </si>
  <si>
    <t>Categories primarily based on "WHO methods and data sources for global burden of disease estimates 2000-2015." January 2017</t>
  </si>
  <si>
    <t>ICD9 codes lists, primarily based on "US County-Level Trends in Mortality Rates for Major Causes of Death, 1980-2014". JAMA 2016 (supplemental eTable3)</t>
  </si>
  <si>
    <t>http://jamanetwork.com/journals/jama/fullarticle/2592499</t>
  </si>
  <si>
    <t>sequential integer</t>
  </si>
  <si>
    <t>regular expression representation of corresponding ICD10 codes lists</t>
  </si>
  <si>
    <t>regular expression representation of corresponding ICD9 codes lists</t>
  </si>
  <si>
    <t>coded primarily by Matt Beyers, Alameda County Public Health</t>
  </si>
  <si>
    <t>coded primarily by Danielle Fujino, Intern, California Department of Public Health</t>
  </si>
  <si>
    <t>A|B|D5[0-3]|D649|E0[0-2]|E4[0-6]|E5|E6[0-4]|G0[0,3,4]|H6[5-8]|J[0,1]|J2[0-2]|N7[0-3]|O|P[0-8]|P9[0-6]</t>
  </si>
  <si>
    <t>B76-B81</t>
  </si>
  <si>
    <t>B78, B80, B81</t>
  </si>
  <si>
    <t>ALL CAUSES</t>
  </si>
  <si>
    <t>All CAUSES</t>
  </si>
  <si>
    <t xml:space="preserve"> </t>
  </si>
  <si>
    <t>E10.2-E10.29,E11.2-E11.29,E12.2,E13.2-E13.29,E14.2, N00-N64, N75-N76, N80-N98</t>
  </si>
  <si>
    <t>N00-N19, E10.2-E10.29,E11.2-E11.29,E12.2,E13.2-
E13.29,E14.2</t>
  </si>
  <si>
    <t>N00-N01</t>
  </si>
  <si>
    <t>E10.2-E10.29, E11.2-E11.29, E12.2, E13.2-E13.29, E14.2</t>
  </si>
  <si>
    <t>N02-N19</t>
  </si>
  <si>
    <t>E102|E112|E122|E132|E142|N[0-5,8]|N6[0-4]|N7[5-6]|N9[0-8]</t>
  </si>
  <si>
    <t>N0[2-9]|N1</t>
  </si>
  <si>
    <t>B20-B24 (minus B20.0)</t>
  </si>
  <si>
    <t>B15-B19 (minus B17.8)</t>
  </si>
  <si>
    <t>B16-B19 (minus B17.1, B17.2, B18.2, B18.8)</t>
  </si>
  <si>
    <t>B17.1, B18.2</t>
  </si>
  <si>
    <t>B17.2, B18.8</t>
  </si>
  <si>
    <t>A02, A05, A20-A28, A31, A32, A38, A40-A49, A65-A70, A74-A79, A80-A81, A87-A89, A92-A99, B00-B04, B06-B09, B17.8, B25-B49, B58-B60, B64, B66, B68, B70-B72, B74.3-B74.9, B75, B82-B89, B91-B99 (minus B94.1), G14</t>
  </si>
  <si>
    <t>C00-C97, D00-D48, D55-D64 (minus D 64.9), D65-D89, E03-E07, E10-E34, E65-E88, F01-F99, G06-G98 (minus G14), H00-H61, H68-H93, I00-I99, J30-J98, K00-K92, L00-L98, M00-M99, N00-N64, N75-N98, Q00-Q99, X41-X42, X44, X45, R95</t>
  </si>
  <si>
    <t>C00-C08</t>
  </si>
  <si>
    <t>C09-C10, C12-C14</t>
  </si>
  <si>
    <t>C64-C66</t>
  </si>
  <si>
    <t>C70-C72</t>
  </si>
  <si>
    <t>C23-C24</t>
  </si>
  <si>
    <t>C82-C86, C96</t>
  </si>
  <si>
    <t>C88, C90</t>
  </si>
  <si>
    <t>C17, C26-C31, C37-C41, C46-C49, C51, C52, C57-C60, C63, C68, C69, C74-C80, C97</t>
  </si>
  <si>
    <t>E10-E14 (minus E10.2-E10.29, E11.2-E11.29, E12.2, E13.2-E13.29, E14.2)</t>
  </si>
  <si>
    <t>D55, D58-D59</t>
  </si>
  <si>
    <t>D60-D64 (minus D64.9), D65-D89, E03-E07, E15-E34, E65-E88</t>
  </si>
  <si>
    <t>F04-F99, G72.1, Q86.0, X41-X42, X44, X45</t>
  </si>
  <si>
    <t>F32-F33, F34.1</t>
  </si>
  <si>
    <t>F32-F33</t>
  </si>
  <si>
    <t>F34.1</t>
  </si>
  <si>
    <t>F11-F16, F18-F19, X41-X42, X44</t>
  </si>
  <si>
    <t>F11, X42, X44</t>
  </si>
  <si>
    <t>F13, F16, F18, F19, X41</t>
  </si>
  <si>
    <t>F90-F92</t>
  </si>
  <si>
    <t>F91-F92</t>
  </si>
  <si>
    <t>F04-F09, F17, F34-F39 (minus F34.1), F45-F48, F51-F69, F80-F83, F88-F89, F93-F99</t>
  </si>
  <si>
    <t>K50-K52, K58.0</t>
  </si>
  <si>
    <t>K80-K83</t>
  </si>
  <si>
    <t>K85-K86</t>
  </si>
  <si>
    <t>K20-K22, K28, K30-K31, K38, K40-K46, K55, K57, K58.9, K59-K66, K71-K73, K75-K76, K90-K92</t>
  </si>
  <si>
    <t>K00, K01, K03, K04, K06-K14</t>
  </si>
  <si>
    <t>V01-Y89 (minus X41-X42, X44, X45)</t>
  </si>
  <si>
    <t>V01-X40, X43, X46-59, Y40-Y86, Y88, Y89</t>
  </si>
  <si>
    <t>W20-W38, W40-W43, W45, W46, W49-W52, W75, W76</t>
  </si>
  <si>
    <t>Rest of V, W39, W44, W53-W64, W77-W99, X20-X29, X50-X59, Y40-Y86, Y88, Y89</t>
  </si>
  <si>
    <t>W2|W3[0-8]|W4[0-3,5-6,9]|W5[0-2]|W7[5-6]</t>
  </si>
  <si>
    <t>E96</t>
  </si>
  <si>
    <t>E95</t>
  </si>
  <si>
    <t>E910</t>
  </si>
  <si>
    <t>E89|E924|E9294</t>
  </si>
  <si>
    <t>E91[6-9]|E913[0-1]|E2[0-2]|E928[1-7]</t>
  </si>
  <si>
    <t>E90[3-4]|E913[2-3]|E92[3,5,7]|E928[0,8]</t>
  </si>
  <si>
    <t>E8003|E8013|E8023|E8033|E8043|E8053|E8063|E8073|E810[0-6]|E811[0-7]|E812[0-7]|E813[0-7]|E814[0-7]|E815[0-7]|E816[0-7]|E817[0-7]|E818[0-7]|E819[0-7]|E820[0-6]|E821[0-6]|E822[0-7]|E823[0-7]|E824[0-7]|E825[0-7]|E826[0-1,3-4]|E827[0,3-4]|E828[0,4]|E829[0-4]</t>
  </si>
  <si>
    <t>E88[0-6,8]|E9293</t>
  </si>
  <si>
    <t>E850[3-8]|E8548|E85[6-7]|E860[2-9]|E9292</t>
  </si>
  <si>
    <t>74[0-1]|7420</t>
  </si>
  <si>
    <t>758.1-758.6, 758.8-758.9</t>
  </si>
  <si>
    <t>758[1-6,8-9]</t>
  </si>
  <si>
    <t>74[5-7]</t>
  </si>
  <si>
    <t>74[2-4,8]|749[6-9]|75[0-7,9]</t>
  </si>
  <si>
    <t>749[0,2]</t>
  </si>
  <si>
    <t>04[2-4]</t>
  </si>
  <si>
    <t>714[0-3,8-9]</t>
  </si>
  <si>
    <t>4161|4373|446|695[4-5]|71[0-1]|7301|732|733[0-1]</t>
  </si>
  <si>
    <t>21[8-9]|2360|2564|61[7-8]|620|621[4-9]|622[3-7]|629</t>
  </si>
  <si>
    <t>59[2,4]|7880</t>
  </si>
  <si>
    <t>588-588.9, 593-593.89, 596-596.81,
596.89-596.9, 598-598.1, 598.8-599,
599.1-599.69, 599.8-599.89, 601-602.9,
604-604.99, 608.2-608.24</t>
  </si>
  <si>
    <t>590-590.9, 595</t>
  </si>
  <si>
    <t>59[0,5]</t>
  </si>
  <si>
    <t>2504|403|58[1-3,5,9]</t>
  </si>
  <si>
    <t>54[0-2]</t>
  </si>
  <si>
    <t>560[0-3,8-9]</t>
  </si>
  <si>
    <t>577|5794</t>
  </si>
  <si>
    <t>57[4-6]</t>
  </si>
  <si>
    <t>55[5-6,8]|5695</t>
  </si>
  <si>
    <t>53[1-4]</t>
  </si>
  <si>
    <t>49[0-2,4,6-9]</t>
  </si>
  <si>
    <t>41[0-4]</t>
  </si>
  <si>
    <t>20[4-8]</t>
  </si>
  <si>
    <t>20[0,2]</t>
  </si>
  <si>
    <t>20[0-3]</t>
  </si>
  <si>
    <t>280[1-8]</t>
  </si>
  <si>
    <t>771[4-9]</t>
  </si>
  <si>
    <t>122[0-4,8-9]</t>
  </si>
  <si>
    <t>^071</t>
  </si>
  <si>
    <t>^060</t>
  </si>
  <si>
    <t>^061</t>
  </si>
  <si>
    <t>^085</t>
  </si>
  <si>
    <t>086[0-2,9]</t>
  </si>
  <si>
    <t>086[3-5]</t>
  </si>
  <si>
    <t>084[0-5,7-9]</t>
  </si>
  <si>
    <t>^037|7713</t>
  </si>
  <si>
    <t>^032</t>
  </si>
  <si>
    <t>^055|3231|4840</t>
  </si>
  <si>
    <t>099[0,8-9]</t>
  </si>
  <si>
    <t>^098</t>
  </si>
  <si>
    <t>0541|09|61[3-4]</t>
  </si>
  <si>
    <t>09[0-7]</t>
  </si>
  <si>
    <t>^120</t>
  </si>
  <si>
    <t>3071|30751|30754</t>
  </si>
  <si>
    <t>391|3920</t>
  </si>
  <si>
    <t>588|59[3,7,8,9]|60[1-8]</t>
  </si>
  <si>
    <t>455|530|536[0-1]|537[0-6]|5378|543|553[1-3]|562[0-1]|564[0-1,5-7]|56[5,6]|569[1-4,7]|5734|579[0-2,8-9]|7871</t>
  </si>
  <si>
    <t>327[2-8]|47[0-4]|476[0-1]|47[7-9]|495|50[6,8-9]|517[0-8]|518[6,9]|519[1-4]|78057|78603</t>
  </si>
  <si>
    <t>43[0-5]|437[0-2,5-8]</t>
  </si>
  <si>
    <t>03643|0366|07423|42[2,5]|429[0-1]</t>
  </si>
  <si>
    <t>099[1-6]</t>
  </si>
  <si>
    <t>00[1,3-6,9]|007[4-8]|0080[1-2,4]|008[2-9]|78791</t>
  </si>
  <si>
    <t>033|484[3-4]</t>
  </si>
  <si>
    <t>06[2-4]|1390|323[0,4-9]</t>
  </si>
  <si>
    <t>38[1-3]</t>
  </si>
  <si>
    <t>63[0-6,8]|6463</t>
  </si>
  <si>
    <t>6593|670</t>
  </si>
  <si>
    <t>65[2-3]|660|665[0-3]</t>
  </si>
  <si>
    <t>64[0-1]|66[1,5,6]</t>
  </si>
  <si>
    <t>26[0-3]</t>
  </si>
  <si>
    <t>26[5-9]|281|7160</t>
  </si>
  <si>
    <t>1589|163|2124</t>
  </si>
  <si>
    <t>193|226</t>
  </si>
  <si>
    <t>161|2121|2310|2356</t>
  </si>
  <si>
    <t>19[1-2]</t>
  </si>
  <si>
    <t>182|2332</t>
  </si>
  <si>
    <t>180|2190|2331</t>
  </si>
  <si>
    <t>156|2092[5-7]|2096[5-7]</t>
  </si>
  <si>
    <t>188|2233|2337|2367|2394</t>
  </si>
  <si>
    <t>185|2222|2365</t>
  </si>
  <si>
    <t>183|220|2362</t>
  </si>
  <si>
    <t>173|2224|232|2382</t>
  </si>
  <si>
    <t>17[4-5]|217|2330|2383|2393|610</t>
  </si>
  <si>
    <t>186|222[0,3]|2364</t>
  </si>
  <si>
    <t>155|2115</t>
  </si>
  <si>
    <t>157|211[6-7]</t>
  </si>
  <si>
    <t>189[0-1]|20924|20964|223[0-1]|23691</t>
  </si>
  <si>
    <t>162|20921|20961|212[2-3]|231[1-2]|2357</t>
  </si>
  <si>
    <t>14[0-5]|210[0-6]|2350</t>
  </si>
  <si>
    <t>147|210[7-9]</t>
  </si>
  <si>
    <t>14[6,8]</t>
  </si>
  <si>
    <t>150|2110|2301</t>
  </si>
  <si>
    <t>151|20923|20963|2111|2302</t>
  </si>
  <si>
    <t>15[3-4]|209[1,5]|211[3-4]|230[3-6]</t>
  </si>
  <si>
    <t>760[0-6,8-9]|761[0,2-6]|76[4,6]|77[0-2]|775[0,4-9]|776[0-5,7-9]|777[0-4,7-9]|779[3,6-8]</t>
  </si>
  <si>
    <t>761[7-9]|76[2-3,7-8]|7701|772|779[0-2]</t>
  </si>
  <si>
    <t>761[0-1]|76[5,9]|770[2-9]|7766|777[5-6]</t>
  </si>
  <si>
    <t>29[0,4]|331[0-2]</t>
  </si>
  <si>
    <t>291|303|3050|3575|7903|E860[0-1]</t>
  </si>
  <si>
    <t>3044|3057</t>
  </si>
  <si>
    <t>3042|3056</t>
  </si>
  <si>
    <t>3040|3055|E850[0-2]</t>
  </si>
  <si>
    <t>292|304[1,5-8]|305[0,1,3-4,8-9]</t>
  </si>
  <si>
    <t>0702[2-3]|0703[2-3]|07044|07054|456[0-2]|571|572[3-9]|573[0-3,8-9]</t>
  </si>
  <si>
    <t>03641|0742|417|42[0,3-4]|427[0-2,6-8]|44[2-3,7-9]|45[0-4,6,9]</t>
  </si>
  <si>
    <t>33[0,3-4,607]|331[5-9]|3353|341|349[0,2-8]|353[6-9]|35[6,8-9]|357[0-1,3-4,7]|7288[6,8]|7752</t>
  </si>
  <si>
    <t>292|304[0-8]|305|7607|E850[0-2,9]|E85[1-3]|E854[0-3]</t>
  </si>
  <si>
    <t>282[0-1,6-9]|28[3-4]</t>
  </si>
  <si>
    <t>24[0-3]|244[0-1,3-8]|24[5-6]|25[1-5]|256[0-3]|256[8-9]|27[0-3,5-6]|277[0-2,4-9]|278[0-8]|286[0-5,7-9]|28[7-8]|289[0-7]|349[0-1]|3576|5187|5190|5364|539|5512|5522|564[2-4]|5696|5793|5968[2-3]|5982|7753|779[4-5]|7806[2-3]</t>
  </si>
  <si>
    <t>64[3-5]|65[0-1,4-8]|659[0-2,4-9]|66[2-4,7-9]|665[4-9]|67[1-3,5-8]|679[0-1]</t>
  </si>
  <si>
    <t>461|464[0-4,8-9]|475|4769</t>
  </si>
  <si>
    <t>073[0-6]|46[6-9]|4700|48[0-3,7-9]|484[1-2,6-7]</t>
  </si>
  <si>
    <t>02|03[4,9]|0398|04[0,5-6]|05[0-1,4,6-9]|07[2-5]|078[4-7]|079[0-7]|0800|10[0,4]|101[0-6]|136[0-2]|13[8,9]|323[0,2-3]|39[0,2]|4845|771[0-2]</t>
  </si>
  <si>
    <t>01|13[7-8]|730[4-6]</t>
  </si>
  <si>
    <t>036[0-5,8-9]|03640|04[7-9]|320[0-8]|32[1-2]</t>
  </si>
  <si>
    <t>V0[5,7-8]|V8[1-6,8]|V9[0-8]|W39|W44|W5[3-9]|W6[0-4]|W7[7-9]|W[8-9]|X[2,5]|Y[4-7]|Y8[0-6,8-9]</t>
  </si>
  <si>
    <t>V|W|X[0-3,5]|X4[0,3,6-9]|Y[4-7]|Y8[0-6,8-9]</t>
  </si>
  <si>
    <t>V|W|X[0-3,5-9]|X4[0,3,6-9]|Y[0-8]</t>
  </si>
  <si>
    <t>X40, X43, X46-X49</t>
  </si>
  <si>
    <t>X4[0,3,6-9]</t>
  </si>
  <si>
    <t>P[0-2,4-8]|P3[5,6,8,9]|P37[0-2,5-9]|P9[0-6]</t>
  </si>
  <si>
    <t>P3[5-6,8-9]|P37[0-2,5-9]</t>
  </si>
  <si>
    <t>B7[6-9]|B8[0-1]</t>
  </si>
  <si>
    <t>PH</t>
  </si>
  <si>
    <t>DETAIL</t>
  </si>
  <si>
    <t>CODE</t>
  </si>
  <si>
    <t>LABEL</t>
  </si>
  <si>
    <t>2. HIV/ and other Sexually transmitted diseases (STDs)</t>
  </si>
  <si>
    <t>a</t>
  </si>
  <si>
    <t>b</t>
  </si>
  <si>
    <t>Other Infectious Diseases</t>
  </si>
  <si>
    <t>c</t>
  </si>
  <si>
    <t>OTHER</t>
  </si>
  <si>
    <t>2. a. Sexually transmitted diseases (STDs) excluding HIV</t>
  </si>
  <si>
    <t>2.b.  HIV/AIDS</t>
  </si>
  <si>
    <t>IV. Other Chronic</t>
  </si>
  <si>
    <t xml:space="preserve"> hepatitis B (acute and liver cancer)</t>
  </si>
  <si>
    <t>name original</t>
  </si>
  <si>
    <t>A</t>
  </si>
  <si>
    <t>B</t>
  </si>
  <si>
    <t>BG</t>
  </si>
  <si>
    <t>C</t>
  </si>
  <si>
    <t>D</t>
  </si>
  <si>
    <t>E</t>
  </si>
  <si>
    <t>01</t>
  </si>
  <si>
    <t>02</t>
  </si>
  <si>
    <t>03</t>
  </si>
  <si>
    <t>04</t>
  </si>
  <si>
    <t>05</t>
  </si>
  <si>
    <t>06</t>
  </si>
  <si>
    <t>07</t>
  </si>
  <si>
    <t>08</t>
  </si>
  <si>
    <t>09</t>
  </si>
  <si>
    <t>12</t>
  </si>
  <si>
    <t>d</t>
  </si>
  <si>
    <t>10</t>
  </si>
  <si>
    <t>HIV/ and other Sexually transmitted diseases (STDs)</t>
  </si>
  <si>
    <t>Other Chronic</t>
  </si>
  <si>
    <t>Substance use (Mental Health)</t>
  </si>
  <si>
    <t>causeList</t>
  </si>
  <si>
    <t>11</t>
  </si>
  <si>
    <t>IHME</t>
  </si>
  <si>
    <t>ICD10-WHO</t>
  </si>
  <si>
    <t>regEx10-WHO</t>
  </si>
  <si>
    <t>nameOutline_WHO</t>
  </si>
  <si>
    <t>nameOnly_WHO</t>
  </si>
  <si>
    <t>P00-P02, P041-P042, P045-49, P08, P50-P96</t>
  </si>
  <si>
    <t>C11, D106</t>
  </si>
  <si>
    <t>C11|D106</t>
  </si>
  <si>
    <t>C15, D001, D130</t>
  </si>
  <si>
    <t>C15|D001|D130</t>
  </si>
  <si>
    <t>C16, D002, D131, D371</t>
  </si>
  <si>
    <t>C16|D002|D131|D371</t>
  </si>
  <si>
    <t>C22, D134</t>
  </si>
  <si>
    <t>C22|D134</t>
  </si>
  <si>
    <t>C25, D136-D137</t>
  </si>
  <si>
    <t>C25|D13[6-7]</t>
  </si>
  <si>
    <t>C3[3-4]|D022|D14[2-3]|D381</t>
  </si>
  <si>
    <t>C33-C34, D022, D142-D143, D381</t>
  </si>
  <si>
    <t>C50, D059, D24, D486</t>
  </si>
  <si>
    <t>C50|D059|D24|D486</t>
  </si>
  <si>
    <t>C53, D069, D260</t>
  </si>
  <si>
    <t>C53|D069|D260</t>
  </si>
  <si>
    <t>C61, D075, D291, D400</t>
  </si>
  <si>
    <t>C61|D075|D291|D400</t>
  </si>
  <si>
    <t>C62, D292, D401, D407</t>
  </si>
  <si>
    <t>C62|D292|D401|D407</t>
  </si>
  <si>
    <t>C70-C72, D320-D321, D329-D334, D339, D420-D421, D429-D434, D439</t>
  </si>
  <si>
    <t>C7[0-2]|D32[0-1]|D329|D33[0-4,9]|D42[0-1,9]|D43[0-4,9]</t>
  </si>
  <si>
    <t>C23-C24, D135</t>
  </si>
  <si>
    <t>C2[3-4]|D135</t>
  </si>
  <si>
    <t>C32, D020, D141, D380</t>
  </si>
  <si>
    <t>C32|D020|D141|D380</t>
  </si>
  <si>
    <t>C73, D34, D440</t>
  </si>
  <si>
    <t>C73|D34|D440</t>
  </si>
  <si>
    <t>V01-V99</t>
  </si>
  <si>
    <t>V</t>
  </si>
  <si>
    <t>X33-X38</t>
  </si>
  <si>
    <t>X3[3-8]</t>
  </si>
  <si>
    <t>I271, M00, M02, M08, M11-M13, M20-M43, M60-M724, M727-M99</t>
  </si>
  <si>
    <t>I271|M0[0,2,8]|M1[1-3]|M[2-3,6,8-9]|M4[0-3]|M7[0-1,3-9]|M72[0-4,7-9]</t>
  </si>
  <si>
    <t>G06-G12, G23-G25, G36-G37, G452-G458, G460-G720, G722-G989</t>
  </si>
  <si>
    <t>K70, K713-K715, K717, K721-K769, I850, I859</t>
  </si>
  <si>
    <t>K70|K71[3-5,7]|K[721-769]|I85[0,9]</t>
  </si>
  <si>
    <t>K713-715, 717, 721-769 to Cirrhosis</t>
  </si>
  <si>
    <t>K20-K22, K28, K30-K31, K38, K40-K46, K55, K57, K58.9, K59-K66, K710-K712, K716, K718-K720, K90-K92</t>
  </si>
  <si>
    <t>K2[0-2,8]|K3[0-1,8]|K4[0-6]|K5[5,7,9]|K589|K6[0-6]|K71[0-2,6,8-9]|K720|K9[0-2]</t>
  </si>
  <si>
    <t>C56, D27, 391</t>
  </si>
  <si>
    <t>C56|D27|D391</t>
  </si>
  <si>
    <t>C64-C65, D300, D410-D411</t>
  </si>
  <si>
    <t>C6[4-5]|D300|D41[0-1]</t>
  </si>
  <si>
    <t>C17, C26-C31, C37-C41, C46-C49, C51, C52, C57-C60, C63, C68, C69, C74-C80, C97
Kidney to neo_other_cancer: C66</t>
  </si>
  <si>
    <t>C17|C2[6-9]|C3[0-1,7-9]|C4[0-1,6-9]|C5[1-2,7-9]|C6[0,3,6,8,9]|C7[4-9]|C80|C97</t>
  </si>
  <si>
    <t>CDPH programs</t>
  </si>
  <si>
    <t>U031, U039, X60-X84, Y870</t>
  </si>
  <si>
    <t>U03[1,9]|X[6-7]|X8[0-4]|Y870</t>
  </si>
  <si>
    <t>Sudden infant death syndrome</t>
  </si>
  <si>
    <t>R95</t>
  </si>
  <si>
    <r>
      <t>E4[0</t>
    </r>
    <r>
      <rPr>
        <sz val="10"/>
        <color rgb="FFFF0000"/>
        <rFont val="Calibri"/>
        <family val="2"/>
        <scheme val="minor"/>
      </rPr>
      <t>-</t>
    </r>
    <r>
      <rPr>
        <sz val="10"/>
        <color theme="1"/>
        <rFont val="Calibri"/>
        <family val="2"/>
        <scheme val="minor"/>
      </rPr>
      <t>6]</t>
    </r>
  </si>
  <si>
    <t>P0[0-2,8]|P04[1-2,5-9]|P[5-8]|P9[0-6]</t>
  </si>
  <si>
    <t>Injuries of unknown intent (e.g., unintentional or self-harm), including overdoses and deaths by firearm</t>
  </si>
  <si>
    <t>F10, G721, P043, Q860, X45, Y15, Y91</t>
  </si>
  <si>
    <t>Subtracting R739 per IHME</t>
  </si>
  <si>
    <t>WHO 2017, p.28</t>
  </si>
  <si>
    <t>R00-99 (minus R739 and R95)</t>
  </si>
  <si>
    <t>Symptoms, signs and ill-defined conditions, not elsewhere classified</t>
  </si>
  <si>
    <t>99</t>
  </si>
  <si>
    <t>G45-G46, I60-I69</t>
  </si>
  <si>
    <t>G4[5-6]|I6</t>
  </si>
  <si>
    <t>Added G45-G46 from other neurological</t>
  </si>
  <si>
    <t>Added I850 and I859 from other CVD; K713-K715, K717, and K721-769 from other digestive</t>
  </si>
  <si>
    <t>A02, A05, A20-A28, A31, A32, A38, A40-A49, A65-A70, A74-A79, A80-A81, A87-A89, A92-A99, B00-B04, B06-B09, B17.8, B25-B49, B58-B60, B64, B66, B68, B70-B72, B74.3-B74.9, B75, B82-B89, B91-B99 (minus B94.1), G14, M725-726</t>
  </si>
  <si>
    <t>A0[2,5]|A2[0-8]|A3[1,2,8]|A4|A6[5-9]|A7[0,4-9]|A8[0-1,7-9]|A9[2-9]|B0[0-4,6-9]|B178|B2[5-9]|B3|B4|B5[8-9]|B6[0,4,6,8]|B7[0-2]|B74[3-9]|B75|B8[2-9]|B9[0-3,5-9]|B94[0,2-9]|G14|M72[5-6]</t>
  </si>
  <si>
    <t>IHME/CCB</t>
  </si>
  <si>
    <t>IHME / CCB</t>
  </si>
  <si>
    <t>Better as "Other or unspecified…?"</t>
  </si>
  <si>
    <t>Add V050-V98 from other unintentional</t>
  </si>
  <si>
    <t>Move X30-32, X39 to other unintentional injuries</t>
  </si>
  <si>
    <t>IHME, CDPH programs</t>
  </si>
  <si>
    <t>Change name to something like "War and Legal Executions" or "War and Capital Punishment" based on CDPH changes?</t>
  </si>
  <si>
    <t>C18-C21, D010-D013, D120-D122, D125-D126, D128-D129, D373-D375</t>
  </si>
  <si>
    <t>C1[8-9]|C2[0-1]|D01[0-3]|D12[0-2, 5-6, 8-9]|D37[3-5]</t>
  </si>
  <si>
    <t>Z</t>
  </si>
  <si>
    <t>Code does not map</t>
  </si>
  <si>
    <t>C43, D03, D221, D229, D232, D234-D237, D239, D485</t>
  </si>
  <si>
    <t>C43|D03|D221|D229|D232|D23[4-7]|D239|D485</t>
  </si>
  <si>
    <t>C44, D04</t>
  </si>
  <si>
    <t>C44|D04</t>
  </si>
  <si>
    <t>C54-C55, D070-D072, D259, D261, D269</t>
  </si>
  <si>
    <t>C67, D090, D303, D414</t>
  </si>
  <si>
    <t>C67|D090|D303|D414</t>
  </si>
  <si>
    <t>E10-E14 (minus E10.2-E10.29, E11.2-E11.29, E12.2, E13.2-E13.29, E14.2), R730, R739</t>
  </si>
  <si>
    <t>H3[0-2,4-5]|H35[0-2,4-9]|H5[3-4]</t>
  </si>
  <si>
    <t>R[0-6]|R7[1-2,4-9]|R73[1-8]|R8|R9[0-4,6-9]</t>
  </si>
  <si>
    <t xml:space="preserve">Subtracting Y15 per IHME. </t>
  </si>
  <si>
    <t>IHME, CDPH, CCB</t>
  </si>
  <si>
    <t>S, W39, W44, W53-W64, W77-W99, X20-X32, X39, X50-X59, Y40-Y86, Y88, Y892-Y899</t>
  </si>
  <si>
    <t>S|W39|W44|W5[3-9]|W6[0-4]|W7[7-9]|W[8-9]|X[2,5]|X3[0-2,9]|Y[4-7]|Y8[0-6,8]|Y89[2-9]</t>
  </si>
  <si>
    <t>Think I was able to map all Michael emailed me about except 000 and 0000</t>
  </si>
  <si>
    <t>Basis for change</t>
  </si>
  <si>
    <t>F10|G721|P043|Q860|X45|Y15|Y91</t>
  </si>
  <si>
    <t>F10|G721|Q860|X45</t>
  </si>
  <si>
    <t>C5[4-5]|D07[0-2]|D25|D26[1-9]|D282</t>
  </si>
  <si>
    <t>D000|D01[4-9]|D02[4,9]|D07[3,4,6]|D09[1-2,7-9]|D109|D13[2-3,9]|D14[0,4]|D1[5-9]|D2[0-1]|D28[0-1,7-9]|D29[0,9]|D30[2,4-9]|D3[1,5-6]|D37[2,6-9]|D38[2-6]|D39[0,2-9]|D409|D41[2-3,9]|D44[1-9]|D4[5-7]|D48[0-4,7-9]|D49[0-1,5,7-9]</t>
  </si>
  <si>
    <t>D000, D014-D019, D024-D0249, D073-D074, D076, D091-D092, D097-D099, D109, D132-D133, D139, D140, D144, D15-D19, D20-D21, D280-D281, D287-D289, D290-D299, D302, D304-D309, D31, D35-D36, D372, D376-D379, D382-D386, D390, D392-D399, D409, D412-D413, D419, D441-D449, D45-D47, D480-D484, D487-D489, D490-D491, D495, D497-D499</t>
  </si>
  <si>
    <t>D370</t>
  </si>
  <si>
    <t>C00-C08, D103, D110, D117, D119</t>
  </si>
  <si>
    <t>C0[0-8]|D103|D11[0,7,9]</t>
  </si>
  <si>
    <t>Uterine cancer</t>
  </si>
  <si>
    <t>10. Uterine cancer</t>
  </si>
  <si>
    <t>WHO 2017, p. 29/IHME</t>
  </si>
  <si>
    <t>Y10-14, Y16-34, Y872</t>
  </si>
  <si>
    <t>Y1[0-4,6-9]|Y2|Y3[0-4]|Y872</t>
  </si>
  <si>
    <t>Other Chronic Conditions</t>
  </si>
  <si>
    <t>Homicide/Interpersonal violence</t>
  </si>
  <si>
    <t>Suicide/Self-harm</t>
  </si>
  <si>
    <t>Cancer/Malignant neoplasms</t>
  </si>
  <si>
    <t>Injuries of unknown intent (e.g., unintentional versus self-harm), including overdoses and deaths by firearm</t>
  </si>
  <si>
    <t>Rename "Other/unspecified unintentional injuries to reflect added S and T codes?</t>
  </si>
  <si>
    <t>Added M725-726 (necrotizing fasciitis) from other MSK.</t>
  </si>
  <si>
    <t xml:space="preserve">Added D103,110,117, 119, and 370 from "other neoplasms." </t>
  </si>
  <si>
    <t>Added D106</t>
  </si>
  <si>
    <t>Added D001, 130</t>
  </si>
  <si>
    <t>Added D002,131,371</t>
  </si>
  <si>
    <t>Added D010-013,120-122, 125-126, 128-9, 373-5</t>
  </si>
  <si>
    <t>Added D134</t>
  </si>
  <si>
    <t>Added D136-7</t>
  </si>
  <si>
    <t>Added D022,142-3, 381</t>
  </si>
  <si>
    <t>Added D03,221,229,232,234-7, 239,485</t>
  </si>
  <si>
    <t>Added D04</t>
  </si>
  <si>
    <t>Added D059, 24, 486</t>
  </si>
  <si>
    <t>Added D069, D260</t>
  </si>
  <si>
    <t xml:space="preserve">Added D070-2 (uterine_cancer), D25, D261-269 and D282 (IHME gyne_fibroids) </t>
  </si>
  <si>
    <t>Added D27, D391</t>
  </si>
  <si>
    <t>Added D075, 291, 400</t>
  </si>
  <si>
    <t>Added D292,401,407</t>
  </si>
  <si>
    <t>Added D300,410-1,  move C66 TO other cancers</t>
  </si>
  <si>
    <t>Added D090, D303, 414</t>
  </si>
  <si>
    <t>Added D320-21, 329-34, 339, 420-21, 429-34, 439</t>
  </si>
  <si>
    <t>Added D135</t>
  </si>
  <si>
    <t>Added D020,141,380</t>
  </si>
  <si>
    <t>Added D34,440</t>
  </si>
  <si>
    <t>Added C66 from Kidney Cancer per IHME, Added D014 (IHME garbage code)</t>
  </si>
  <si>
    <t>Added R730, abnormal glucose and R739, hyperglycemia unspecified</t>
  </si>
  <si>
    <t>Added U031, U039 (terrorism)</t>
  </si>
  <si>
    <t>Moved P043 to alcohol and P044 to drug use disorders.</t>
  </si>
  <si>
    <t>D55-D64 (minus D64.9), D65-D89, E03-E07, E15-E34, E65-E88</t>
  </si>
  <si>
    <t>D5[5-9]|D6[0-3,5-9]|D64[0-8]|D7|D8|E0[3-7]|E1[5-9]|E2|E3[0-4]|E6[5-9]|E7|E8[0-8]</t>
  </si>
  <si>
    <t>Added G721, P043, and Y15 per IHME. 
Added Y91 per CCB</t>
  </si>
  <si>
    <t>Added I271 from other cardiovascular diseases per IHME. Move M725-M726 per IHME ("skin_cellulitis"), to other infectious diseases per CCB.</t>
  </si>
  <si>
    <t>[Note: A02 (botulism) and A05 (salmonella unspecified) mapped differently in IHME, but left here as is]
IHME labels as skin_cellulitis; no such category in CCB; this seems like best location</t>
  </si>
  <si>
    <t>Changes from WHO 2017</t>
  </si>
  <si>
    <t>Unknown/Missing Value</t>
  </si>
  <si>
    <t>G0[6-9]|G1[0-2]|G2[3-5]|G3[6-7]|G45[2-8]|G46|G4[7-9]|G5|G6|G7[0-1]|G72[0,2-9]|G8|G9[0-8]</t>
  </si>
  <si>
    <t>Move G721 to alcohol, G45-46 to stroke - some of G45 and all of G46 still here?
REVIEW WITH DAVE
Michael added back G4[7-9]</t>
  </si>
  <si>
    <r>
      <t>F10, X45</t>
    </r>
    <r>
      <rPr>
        <sz val="6"/>
        <color rgb="FFFF0000"/>
        <rFont val="Calibri"/>
        <family val="2"/>
        <scheme val="minor"/>
      </rPr>
      <t>c</t>
    </r>
  </si>
  <si>
    <t>I50</t>
  </si>
  <si>
    <t>6.a. Congestive heart failure</t>
  </si>
  <si>
    <t>6.b. Other OR UNSPECIFIED cardiovascular diseases</t>
  </si>
  <si>
    <t>I00, I260-I270, I272-I280, I34-I37, I44-I49, I51, I700-I849, I851-I858, I86-I99</t>
  </si>
  <si>
    <t>I00|I26|I27[0,2-9]|I28|I3[4-7]|I4[4-9]|I51|I7|I8[0-4,6-9]|I85[1-8]|I9</t>
  </si>
  <si>
    <t>Other or unspecified cardiovascular diseases</t>
  </si>
  <si>
    <t>Added I50 from Other cardiovascual diseases</t>
  </si>
  <si>
    <t>Move I271 to Other MSK, I850, I859 to Cirrhosis; I50 to Congestive heart failure</t>
  </si>
  <si>
    <t>IHME; CDPH Programs</t>
  </si>
  <si>
    <t>I00, I260-I270, I272-I280, I34-I37, I44-149 ,I51, I700-I849, I851-I858, I86-I99</t>
  </si>
  <si>
    <t>I00|I26|I27[0,2-9]|I28|I3[4-7]|I4[4-9]|I5[1]|I7|I8[0-4,6-9]|I85[1-8]|I9</t>
  </si>
  <si>
    <r>
      <t xml:space="preserve"> </t>
    </r>
    <r>
      <rPr>
        <sz val="10"/>
        <color rgb="FFFF0000"/>
        <rFont val="Calibri"/>
        <family val="2"/>
        <scheme val="minor"/>
      </rPr>
      <t>Congestive heart failure</t>
    </r>
  </si>
  <si>
    <t>Added R95 as it's own new row, was missing before for some reason; included with neonatal conditions (A09); had been its own condition (D12)</t>
  </si>
  <si>
    <t>J09|J1|J2[0-2]|P23|U04</t>
  </si>
  <si>
    <t>Digestive diseases (excluding cirrhosis)</t>
  </si>
  <si>
    <t xml:space="preserve">J. Digestive diseases </t>
  </si>
  <si>
    <t>E10[0-1,3-9]|E11[0-1,3-9]|E12[0-1,3-9]|E13[0-1,3-9]|E14[0-1,3-9]|R730|R739</t>
  </si>
  <si>
    <t>ICD10_CM</t>
  </si>
  <si>
    <t>regExICD10_CM</t>
  </si>
  <si>
    <t>E0[8-9]|E1[0-3]</t>
  </si>
  <si>
    <t>ICD-10-CM from CDC ICD-10-CM 2016 definitions (https://www.cdc.gov/nchs/icd/icd10cm.htm)</t>
  </si>
  <si>
    <t>E08-E13, R730 abnormal glucose excludes diabetes, so shouldn't include here? R739 is hyperglycemia, unspecified--include?</t>
  </si>
  <si>
    <t>F2[0-9]</t>
  </si>
  <si>
    <t xml:space="preserve">I30-I33, I38, I40, I42, I43? </t>
  </si>
  <si>
    <t>I3[0-3,8]|I4[0,2-3]</t>
  </si>
  <si>
    <t>I0[1-9]</t>
  </si>
  <si>
    <t>G4[5-6]|I6[0-9]</t>
  </si>
  <si>
    <t>Why is I00 included if it refers to rheumatic fever without heart involvement?</t>
  </si>
  <si>
    <t>I26, I27.0, 127.2-127.9, I28, I34-I37, I44-I49, I51, I70-I83.9, I85, I86-I99</t>
  </si>
  <si>
    <t>I26|I27[0, 2-9]|I28|I3[4-7]|I4[4-9]|I51|I7|I8[0-4,6-9]|I85|I8[6-9]|I9[0-9]</t>
  </si>
  <si>
    <t>Include I43 ICD-10-CM? I43 is cardiomyopathy in diseases classified elsewhere</t>
  </si>
  <si>
    <t>E.1. Mental Health disorders (non-substance use)</t>
  </si>
  <si>
    <t>Mental Health disorders (non-substance use)</t>
  </si>
  <si>
    <t xml:space="preserve">Mental Health disorders </t>
  </si>
  <si>
    <r>
      <t>3.</t>
    </r>
    <r>
      <rPr>
        <sz val="10"/>
        <color rgb="FFFF0000"/>
        <rFont val="Calibri"/>
        <family val="2"/>
        <scheme val="minor"/>
      </rPr>
      <t xml:space="preserve"> </t>
    </r>
    <r>
      <rPr>
        <sz val="10"/>
        <rFont val="Calibri"/>
        <family val="2"/>
        <scheme val="minor"/>
      </rPr>
      <t>Other respiratory diseases</t>
    </r>
  </si>
  <si>
    <t>66</t>
  </si>
  <si>
    <t>67</t>
  </si>
  <si>
    <t>68</t>
  </si>
  <si>
    <t>J09-18, J20-22, P23</t>
  </si>
  <si>
    <t>J09|J1|J2[0-2]|P23</t>
  </si>
  <si>
    <t>O44.1-O46, O67, O72 (exclude O44.0)</t>
  </si>
  <si>
    <t>O44.1-O46, O67, O72</t>
  </si>
  <si>
    <t>For both mortality and CM codes, O44.0 is placenta previa specified as without hemorrhage, therefore needs to be excluded from hemorrhage definition</t>
  </si>
  <si>
    <t>O10-16</t>
  </si>
  <si>
    <t>For both mortality and CM codes, O12 is gestational edema and proteinuria without hypertension--therefore, should it be excluded from definition?</t>
  </si>
  <si>
    <t>O00-O04, O07 (O05 and O06 aren't included as possible codes for CM)</t>
  </si>
  <si>
    <t>O0[0-4]|O07</t>
  </si>
  <si>
    <t>O20-O43, O47-O63, O68-O71, O73-O77, O87-O94, O98-O99</t>
  </si>
  <si>
    <t>O2[0-9]|O3[0-9]|O4[0-3,7-9]|O5|O6[0-3,8-9]|O7[0-1,3-7]|O8[7-9]|O9[4,8-9]</t>
  </si>
  <si>
    <t>O441|O4[5-6]|O67|O72</t>
  </si>
  <si>
    <t>Legal intervention</t>
  </si>
  <si>
    <t>Homicide excluding legal intervention</t>
  </si>
  <si>
    <t xml:space="preserve"> Y350-354, Y356-Y357, Y358-Y359,Y890</t>
  </si>
  <si>
    <t>U010-U019, U02, X85-Y09, Y871</t>
  </si>
  <si>
    <t>Y355,  Y36, Y891, Y38, y899</t>
  </si>
  <si>
    <t>Y355|Y36|Y37|Y891|Y38</t>
  </si>
  <si>
    <t>U01[0-9]|U02|X8[5-9]|X9|Y0|Y871</t>
  </si>
  <si>
    <t>Y35[0-4]|Y35[6-9]|Y890</t>
  </si>
  <si>
    <t>W32-W34.9</t>
  </si>
  <si>
    <t>W3[2-4]</t>
  </si>
  <si>
    <t>Accidental Firearm</t>
  </si>
  <si>
    <t>Moved W3[2-4] here from line above.</t>
  </si>
  <si>
    <t>W20-W38, W40-W43, W45, W46, W49-W52, W75, W76
not W3[2-4]</t>
  </si>
  <si>
    <t>6. Accidental Firearm</t>
  </si>
  <si>
    <t>W2|W3[0-1,5-8]|W4[0-3,5-6,9]|W5[0-2]|W7[5-6]</t>
  </si>
  <si>
    <t>F11</t>
  </si>
  <si>
    <t>Substance Use - associated poisonings</t>
  </si>
  <si>
    <t>2. Non-SA Poisonings</t>
  </si>
  <si>
    <t>DELETED X42 and X44 per CDPH review (1/9/2019) - to Substance Use - associated poisonings;</t>
  </si>
  <si>
    <t>F13, F16, F18, F19, P044</t>
  </si>
  <si>
    <t>F1[3,6,8,9]|P044</t>
  </si>
  <si>
    <t>E.2. Substance use disorders</t>
  </si>
  <si>
    <t>Substance use disorders</t>
  </si>
  <si>
    <r>
      <t xml:space="preserve">035-035.9, 036.41-036.43, 036.6, 070.22-070.23, 070.32-070.33, 070.44, 070.54, 074.2, 074.21-074.23, 102-103.9, 133-133.6, 135-135.9, 136.6, 140-148.9, 150-158.9, 160-164.9, 170-175.9, 180-183.8, 184.0-184.4, 184.8, 185-186.9, 187.1-187.8, 188-188.9, 189.0-189.8, 190-194.8, 200-208.92, 209.0-209.17, 209.21-209.27, 209.31-209.57, 209.61, 209.63-209.67, 210.0-210.9, 211.0-211.8, 212.0-212.8, 213-213.9, 217-220.9, 221.0-221.8, 222.0-222.8, 223.0-223.89, 224-228.9, 229.0, 229.8, 230.1-230.8, 231.0-231.2, 232-232.9, 233.0-233.2, 233.31-233.32, 233.4-233.5, 233.7, 234.0-234.8, 235.0, 235.4, 235.6-235.8, 236.0-236.2, 236.4-236.5, 236.7, 236.91-237.3, 237.5-237.9,
238.0-238.5, 239.2-239.4, 239.6, 240-243.9, 244.0-244.1, 244.3-244.8, 245-
246.9, 250-259.9, 270-273.9, 275-276, 277-277.2, 277.4-277.9, 278.0-278.8, 282-284.9, 286-286.5, 286.7-289.7, 290-292.9, 294.1-295.95, 303-303.93, 304.0-304.83, 305-305.93, 307.1, 307.51, 307.54, 327.2-327.8, 330-331.2, 331.5-337.9, 340-341.9, 345-345.91, 349-349.8, 353.6-353.9, 356-356.9, 357.0-357.7, 358-359.9, 376.0-376.1, 391-391.9, 392.0, 393-398.99, 402-404.93, 410-414.9, 416.1, 417-417.9, 420-423, 423.1-425.9, 427-427.32, 427.6-427.89, 429.0-429.1, 430-435.9, 437.0-437.2, 437.4-437.8, 441-443.9, 446-457.9, 459, 459.1-459.39, 470, 470.9-474.9, 476-476.1, 477-479, 490-504.9, 506-506.9, 508-509, 515, 516-517.8, 518.6-518.7, 518.9, 519.0-519.4, 530-536.1, 536.4-536.49, 537-537.6, 537.8-537.84, 538-543.9, 550-553.6, 555-558.9, 560-560.39, 560.8-560.9, 562-562.13, 564-564.7, 565-566.9, 569.0-569.44, 569.5-569.71, 569.84-569.85, 571-571.9, 572.3-572.9, 573.0-573.4, 573.8-577.9, 579-583.9, 585-585.9, 588-590.9, 592-593.89, 594-599.69, 599.8-599.89, 601-602.9, 604-604.99, 608.2-608.24, 610-610.9, 617-618.9, 620-620.9, 621.4-621.9, 622.3-622.7, 629-629.81, 680-689, 694-695.59, 707-707.9, </t>
    </r>
    <r>
      <rPr>
        <sz val="3"/>
        <color theme="1"/>
        <rFont val="Calibri"/>
        <family val="2"/>
        <scheme val="minor"/>
      </rPr>
      <t>710-711.99, 714-714.33, 714.8-714.9, 728.86, 728.88, 730.1-730.19, 732-732.9, 733.0-733.19, 740-749.04, 749.2-758.9, 759.0-759.89, 760.7-760.79, 775.0-775.3, 779.4-779.5, 780.57, 780.59, 780.62-780.63, 786.03, 787.1, 788.0, 790.2-790.22, 790.3, 798-798.0, E850-E850.29, E850.9-E854.39, E860-E860.19</t>
    </r>
  </si>
  <si>
    <r>
      <t>E800-E800.3, E801-E801.3, E802-E802.3, E803-E803.3, E804-E804.3, E805-E805.3, E806-E806.3, E807-E807.3, E810.0-E810.7, E811.0-E811.7, E812.0-E812.7, E813.0-E813.7, E814.0-E814.7, E815.0-E815.7, E816.0-E816.7, E817.0-E817.7, E818.0-E818.7, E819.0-E819.7, E820.0-E820.7, E821.0-E821.7,
E822.0-E822.7, E823.0-E823.7, E824.0-E824.7, E825.0-E825.7, E826.0-E826.4, E827.0-E827.4, E828.0-E828.4, E829.0-E829.4, E830-E838.9, E840-E849.9, E850.3-E850.89, E854.8, E856-E857.09, E860.2-E869.99,</t>
    </r>
    <r>
      <rPr>
        <sz val="3"/>
        <color theme="1"/>
        <rFont val="Calibri"/>
        <family val="2"/>
        <scheme val="minor"/>
      </rPr>
      <t xml:space="preserve"> E870-E876.9</t>
    </r>
    <r>
      <rPr>
        <sz val="3"/>
        <rFont val="Calibri"/>
        <family val="2"/>
        <scheme val="minor"/>
      </rPr>
      <t>, E878-E879.9, E880-E886.99, E888-E928.89, E929.1-E929.5, E930-E979.9, E990-E999.1</t>
    </r>
  </si>
  <si>
    <t xml:space="preserve">Added and U010-U019, U02 (terrorism) </t>
  </si>
  <si>
    <t>Y350-4, 356-7, 890 (officer-involved shootings etc. from war/legal interventions to homicides);   See 4oct2018 email regarding recommendation to add Y358-9 (other and unspecified officer-involved deaths)</t>
  </si>
  <si>
    <t>Added Y891 (sequelae of war operations) per IHME, move Y890 (officer-involved killings) to homicides rather than here per CDPH
Y35.5 - execution
Y36, Y37, Y89.1 - war/military
Y38 - terrorism</t>
  </si>
  <si>
    <t xml:space="preserve">Added S per Dave (see notes, consider renaming category).  Also per IHME,  added X30-32 and X39 from natural disasters.  </t>
  </si>
  <si>
    <t>Added P044  ; as above moved X41 to Poisonings (non-substance)</t>
  </si>
  <si>
    <t>INCLUDED ALL INJURY but not elsewhere</t>
  </si>
  <si>
    <t>Drug poisonings</t>
  </si>
  <si>
    <t>Poisonings (non-drug)</t>
  </si>
  <si>
    <t>(moved x40,x41, and x 43 Up one</t>
  </si>
  <si>
    <t xml:space="preserve"> X40- X44</t>
  </si>
  <si>
    <t>X46-X49</t>
  </si>
  <si>
    <t>X4[6-9]</t>
  </si>
  <si>
    <t>Gonorrhea</t>
  </si>
  <si>
    <t>Diarrheal diseases</t>
  </si>
  <si>
    <t>Maternal hemorrhage</t>
  </si>
  <si>
    <t>Esophagus cancer</t>
  </si>
  <si>
    <t>Leukemia</t>
  </si>
  <si>
    <t>Autism and Asperger syndrome</t>
  </si>
  <si>
    <t>Childhood behavioral disorders</t>
  </si>
  <si>
    <t>Other mental and behavioral disorders</t>
  </si>
  <si>
    <t>Ischemic heart disease</t>
  </si>
  <si>
    <t>Chronic kidney disease due to diabetes</t>
  </si>
  <si>
    <t>Execution, War, Terrorism</t>
  </si>
  <si>
    <t>Obstructed labor</t>
  </si>
  <si>
    <t>Iron-deficiency anemia</t>
  </si>
  <si>
    <t>Nasopharynx</t>
  </si>
  <si>
    <t>Gallbladder and biliary tract cancer</t>
  </si>
  <si>
    <t>Other haemoglobinopathies and hemolytic anemias</t>
  </si>
  <si>
    <t>X4[0-4]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</si>
</sst>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5" x14ac:knownFonts="1">
    <font>
      <sz val="11"/>
      <color theme="1"/>
      <name val="Calibri"/>
      <family val="2"/>
      <scheme val="minor"/>
    </font>
    <font>
      <sz val="10"/>
      <color rgb="FF000000"/>
      <name val="Times New Roman"/>
      <family val="1"/>
    </font>
    <font>
      <sz val="10"/>
      <name val="Calibri"/>
      <family val="2"/>
      <scheme val="minor"/>
    </font>
    <font>
      <b/>
      <sz val="10"/>
      <color indexed="81"/>
      <name val="Tahoma"/>
      <family val="2"/>
    </font>
    <font>
      <sz val="10"/>
      <color indexed="81"/>
      <name val="Tahoma"/>
      <family val="2"/>
    </font>
    <font>
      <u/>
      <sz val="11"/>
      <color theme="10"/>
      <name val="Calibri"/>
      <family val="2"/>
      <scheme val="minor"/>
    </font>
    <font>
      <u/>
      <sz val="11"/>
      <color theme="11"/>
      <name val="Calibri"/>
      <family val="2"/>
      <scheme val="minor"/>
    </font>
    <font>
      <b/>
      <sz val="12"/>
      <color theme="1"/>
      <name val="Calibri"/>
      <family val="2"/>
      <scheme val="minor"/>
    </font>
    <font>
      <sz val="12"/>
      <color theme="1"/>
      <name val="Calibri"/>
      <family val="2"/>
      <scheme val="minor"/>
    </font>
    <font>
      <sz val="12"/>
      <name val="Calibri"/>
      <family val="2"/>
      <scheme val="minor"/>
    </font>
    <font>
      <strike/>
      <sz val="10"/>
      <name val="Calibri"/>
      <family val="2"/>
      <scheme val="minor"/>
    </font>
    <font>
      <b/>
      <sz val="10"/>
      <color theme="0"/>
      <name val="Calibri"/>
      <family val="2"/>
      <scheme val="minor"/>
    </font>
    <font>
      <sz val="10"/>
      <color rgb="FFFF0000"/>
      <name val="Calibri"/>
      <family val="2"/>
      <scheme val="minor"/>
    </font>
    <font>
      <sz val="10"/>
      <color theme="1"/>
      <name val="Calibri"/>
      <family val="2"/>
      <scheme val="minor"/>
    </font>
    <font>
      <sz val="10"/>
      <color rgb="FF000000"/>
      <name val="Calibri"/>
      <family val="2"/>
      <scheme val="minor"/>
    </font>
    <font>
      <sz val="9"/>
      <color indexed="81"/>
      <name val="Tahoma"/>
      <family val="2"/>
    </font>
    <font>
      <b/>
      <sz val="9"/>
      <color indexed="81"/>
      <name val="Tahoma"/>
      <family val="2"/>
    </font>
    <font>
      <sz val="10"/>
      <color rgb="FF000000"/>
      <name val="Calibri"/>
      <family val="2"/>
    </font>
    <font>
      <sz val="6"/>
      <name val="Calibri"/>
      <family val="2"/>
      <scheme val="minor"/>
    </font>
    <font>
      <sz val="6"/>
      <color theme="1"/>
      <name val="Calibri"/>
      <family val="2"/>
      <scheme val="minor"/>
    </font>
    <font>
      <sz val="6"/>
      <color rgb="FFFF0000"/>
      <name val="Calibri"/>
      <family val="2"/>
      <scheme val="minor"/>
    </font>
    <font>
      <sz val="6"/>
      <color rgb="FF000000"/>
      <name val="Calibri"/>
      <family val="2"/>
      <scheme val="minor"/>
    </font>
    <font>
      <sz val="11"/>
      <color theme="1"/>
      <name val="Calibri"/>
      <family val="2"/>
    </font>
    <font>
      <sz val="3"/>
      <name val="Calibri"/>
      <family val="2"/>
      <scheme val="minor"/>
    </font>
    <font>
      <sz val="3"/>
      <color theme="1"/>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rgb="FF000000"/>
      </bottom>
      <diagonal/>
    </border>
  </borders>
  <cellStyleXfs count="29">
    <xf numFmtId="0" fontId="0" fillId="0" borderId="0"/>
    <xf numFmtId="0" fontId="1"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cellStyleXfs>
  <cellXfs count="89">
    <xf numFmtId="0" fontId="0" fillId="0" borderId="0" xfId="0"/>
    <xf numFmtId="0" fontId="2" fillId="0" borderId="0" xfId="1" applyFont="1" applyFill="1" applyBorder="1" applyAlignment="1">
      <alignment horizontal="left" vertical="top"/>
    </xf>
    <xf numFmtId="0" fontId="2" fillId="0" borderId="0" xfId="1" applyFont="1" applyFill="1" applyBorder="1" applyAlignment="1">
      <alignment vertical="top"/>
    </xf>
    <xf numFmtId="0" fontId="2" fillId="2" borderId="0" xfId="0" applyFont="1" applyFill="1" applyBorder="1" applyAlignment="1">
      <alignment horizontal="left" vertical="top"/>
    </xf>
    <xf numFmtId="0" fontId="2" fillId="0" borderId="0" xfId="1" applyFont="1" applyFill="1" applyBorder="1" applyAlignment="1">
      <alignment vertical="top" textRotation="90"/>
    </xf>
    <xf numFmtId="0" fontId="2" fillId="0" borderId="0" xfId="1" applyFont="1" applyFill="1" applyBorder="1" applyAlignment="1">
      <alignment vertical="top" wrapText="1"/>
    </xf>
    <xf numFmtId="0" fontId="2" fillId="0" borderId="0" xfId="1" applyFont="1" applyFill="1" applyBorder="1" applyAlignment="1">
      <alignment horizontal="center" vertical="top"/>
    </xf>
    <xf numFmtId="0" fontId="7" fillId="0" borderId="0" xfId="0" applyFont="1"/>
    <xf numFmtId="0" fontId="7" fillId="0" borderId="0" xfId="0" applyFont="1" applyAlignment="1">
      <alignment wrapText="1"/>
    </xf>
    <xf numFmtId="0" fontId="8" fillId="0" borderId="0" xfId="0" applyFont="1"/>
    <xf numFmtId="0" fontId="8" fillId="0" borderId="0" xfId="0" applyFont="1" applyAlignment="1">
      <alignment wrapText="1"/>
    </xf>
    <xf numFmtId="0" fontId="8" fillId="0" borderId="0" xfId="0" applyFont="1" applyAlignment="1">
      <alignment vertical="center"/>
    </xf>
    <xf numFmtId="0" fontId="8" fillId="0" borderId="0" xfId="0" applyFont="1" applyAlignment="1">
      <alignment vertical="center" wrapText="1"/>
    </xf>
    <xf numFmtId="0" fontId="9" fillId="0" borderId="0" xfId="1" applyFont="1" applyFill="1" applyBorder="1" applyAlignment="1">
      <alignment horizontal="left" vertical="center"/>
    </xf>
    <xf numFmtId="0" fontId="9" fillId="0" borderId="0" xfId="1" applyFont="1" applyFill="1" applyBorder="1" applyAlignment="1">
      <alignment vertical="center" wrapText="1"/>
    </xf>
    <xf numFmtId="0" fontId="5" fillId="0" borderId="0" xfId="28" applyAlignment="1">
      <alignment vertical="center" wrapText="1"/>
    </xf>
    <xf numFmtId="0" fontId="13" fillId="0" borderId="0" xfId="0" applyFont="1" applyFill="1" applyBorder="1" applyAlignment="1">
      <alignment vertical="top" wrapText="1"/>
    </xf>
    <xf numFmtId="164" fontId="2" fillId="0" borderId="0" xfId="0" applyNumberFormat="1" applyFont="1" applyFill="1" applyBorder="1" applyAlignment="1">
      <alignment vertical="top"/>
    </xf>
    <xf numFmtId="164" fontId="2" fillId="0" borderId="0" xfId="0" applyNumberFormat="1" applyFont="1" applyFill="1" applyBorder="1" applyAlignment="1">
      <alignment vertical="top" wrapText="1"/>
    </xf>
    <xf numFmtId="0" fontId="2" fillId="0" borderId="0" xfId="0" applyFont="1" applyFill="1" applyBorder="1" applyAlignment="1">
      <alignment vertical="top" wrapText="1"/>
    </xf>
    <xf numFmtId="0" fontId="2" fillId="0" borderId="0" xfId="0" applyFont="1" applyFill="1" applyBorder="1" applyAlignment="1">
      <alignment horizontal="left" vertical="top"/>
    </xf>
    <xf numFmtId="0" fontId="2" fillId="0" borderId="0" xfId="1" applyFont="1" applyFill="1" applyBorder="1" applyAlignment="1">
      <alignment horizontal="left" vertical="top" wrapText="1"/>
    </xf>
    <xf numFmtId="0" fontId="12" fillId="0" borderId="0" xfId="1" applyFont="1" applyFill="1" applyBorder="1" applyAlignment="1">
      <alignment vertical="top"/>
    </xf>
    <xf numFmtId="0" fontId="2" fillId="0" borderId="0" xfId="1" applyFont="1" applyFill="1" applyBorder="1" applyAlignment="1">
      <alignment horizontal="center" vertical="top" textRotation="90"/>
    </xf>
    <xf numFmtId="49" fontId="2" fillId="0" borderId="0" xfId="1" applyNumberFormat="1" applyFont="1" applyFill="1" applyBorder="1" applyAlignment="1">
      <alignment horizontal="center" vertical="top" textRotation="90"/>
    </xf>
    <xf numFmtId="0" fontId="11" fillId="10" borderId="0" xfId="1" applyFont="1" applyFill="1" applyBorder="1" applyAlignment="1">
      <alignment horizontal="center" vertical="top"/>
    </xf>
    <xf numFmtId="49" fontId="2" fillId="0" borderId="0" xfId="1" applyNumberFormat="1" applyFont="1" applyFill="1" applyBorder="1" applyAlignment="1">
      <alignment horizontal="center" vertical="top"/>
    </xf>
    <xf numFmtId="0" fontId="2" fillId="8" borderId="0" xfId="1" applyFont="1" applyFill="1" applyBorder="1" applyAlignment="1">
      <alignment horizontal="center" vertical="top"/>
    </xf>
    <xf numFmtId="0" fontId="2" fillId="9" borderId="0" xfId="1" applyFont="1" applyFill="1" applyBorder="1" applyAlignment="1">
      <alignment horizontal="center" vertical="top"/>
    </xf>
    <xf numFmtId="0" fontId="2" fillId="2" borderId="0" xfId="0" applyFont="1" applyFill="1" applyBorder="1" applyAlignment="1">
      <alignment horizontal="left" vertical="top" wrapText="1"/>
    </xf>
    <xf numFmtId="0" fontId="10" fillId="6" borderId="0" xfId="0" applyFont="1" applyFill="1" applyBorder="1" applyAlignment="1">
      <alignment horizontal="left" vertical="top" wrapText="1"/>
    </xf>
    <xf numFmtId="0" fontId="2" fillId="4" borderId="0" xfId="0" applyFont="1" applyFill="1" applyBorder="1" applyAlignment="1">
      <alignment horizontal="left" vertical="top" wrapText="1"/>
    </xf>
    <xf numFmtId="0" fontId="2" fillId="6"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2" fillId="11" borderId="0" xfId="0" applyFont="1" applyFill="1" applyBorder="1" applyAlignment="1">
      <alignment horizontal="left" vertical="top" wrapText="1"/>
    </xf>
    <xf numFmtId="0" fontId="2" fillId="3" borderId="0" xfId="0" applyFont="1" applyFill="1" applyBorder="1" applyAlignment="1">
      <alignment horizontal="left" vertical="top" wrapText="1"/>
    </xf>
    <xf numFmtId="164" fontId="2" fillId="4" borderId="0" xfId="0" applyNumberFormat="1" applyFont="1" applyFill="1" applyBorder="1" applyAlignment="1">
      <alignment horizontal="left" vertical="top" wrapText="1"/>
    </xf>
    <xf numFmtId="0" fontId="2" fillId="9" borderId="0" xfId="0" applyFont="1" applyFill="1" applyBorder="1" applyAlignment="1">
      <alignment horizontal="left" vertical="top" wrapText="1"/>
    </xf>
    <xf numFmtId="0" fontId="2" fillId="6" borderId="1" xfId="1" applyFont="1" applyFill="1" applyBorder="1" applyAlignment="1">
      <alignment horizontal="center" vertical="top" textRotation="90"/>
    </xf>
    <xf numFmtId="0" fontId="13" fillId="6" borderId="1" xfId="0" applyFont="1" applyFill="1" applyBorder="1" applyAlignment="1">
      <alignment horizontal="center" vertical="top" textRotation="90"/>
    </xf>
    <xf numFmtId="0" fontId="2" fillId="6" borderId="1" xfId="1" applyFont="1" applyFill="1" applyBorder="1" applyAlignment="1">
      <alignment horizontal="center" vertical="top"/>
    </xf>
    <xf numFmtId="0" fontId="2" fillId="9" borderId="1" xfId="1" applyFont="1" applyFill="1" applyBorder="1" applyAlignment="1">
      <alignment horizontal="center" vertical="top"/>
    </xf>
    <xf numFmtId="0" fontId="13" fillId="6" borderId="1" xfId="0" applyFont="1" applyFill="1" applyBorder="1" applyAlignment="1">
      <alignment horizontal="center" vertical="top"/>
    </xf>
    <xf numFmtId="0" fontId="13" fillId="0" borderId="1" xfId="0" applyFont="1" applyFill="1" applyBorder="1" applyAlignment="1">
      <alignment horizontal="center" vertical="top"/>
    </xf>
    <xf numFmtId="0" fontId="13" fillId="0" borderId="0" xfId="0" applyFont="1" applyBorder="1" applyAlignment="1">
      <alignment vertical="top" wrapText="1"/>
    </xf>
    <xf numFmtId="0" fontId="2" fillId="0" borderId="0" xfId="0" applyFont="1" applyBorder="1" applyAlignment="1">
      <alignment horizontal="left" vertical="top"/>
    </xf>
    <xf numFmtId="0" fontId="13" fillId="0" borderId="0" xfId="0" applyFont="1" applyBorder="1" applyAlignment="1">
      <alignment vertical="top"/>
    </xf>
    <xf numFmtId="0" fontId="2" fillId="2" borderId="0" xfId="0" applyNumberFormat="1" applyFont="1" applyFill="1" applyBorder="1" applyAlignment="1">
      <alignment horizontal="left" vertical="top" wrapText="1"/>
    </xf>
    <xf numFmtId="0" fontId="13" fillId="0" borderId="0" xfId="0" applyFont="1" applyFill="1" applyBorder="1" applyAlignment="1">
      <alignment vertical="top"/>
    </xf>
    <xf numFmtId="0" fontId="14" fillId="0" borderId="0" xfId="0" applyFont="1" applyFill="1" applyBorder="1" applyAlignment="1">
      <alignment vertical="top" wrapText="1"/>
    </xf>
    <xf numFmtId="164" fontId="2" fillId="0" borderId="0" xfId="0" applyNumberFormat="1" applyFont="1" applyFill="1" applyBorder="1" applyAlignment="1">
      <alignment horizontal="left" vertical="top"/>
    </xf>
    <xf numFmtId="164" fontId="2" fillId="0" borderId="0" xfId="0" applyNumberFormat="1" applyFont="1" applyBorder="1" applyAlignment="1">
      <alignment horizontal="left" vertical="top"/>
    </xf>
    <xf numFmtId="0" fontId="2" fillId="0" borderId="0" xfId="0" applyFont="1" applyFill="1" applyBorder="1" applyAlignment="1">
      <alignment vertical="top"/>
    </xf>
    <xf numFmtId="0" fontId="2" fillId="0" borderId="0" xfId="0" applyFont="1" applyBorder="1" applyAlignment="1">
      <alignment vertical="top"/>
    </xf>
    <xf numFmtId="0" fontId="13" fillId="8" borderId="0" xfId="0" applyFont="1" applyFill="1" applyBorder="1" applyAlignment="1">
      <alignment horizontal="center" vertical="top"/>
    </xf>
    <xf numFmtId="49" fontId="13" fillId="0" borderId="0" xfId="0" applyNumberFormat="1" applyFont="1" applyFill="1" applyBorder="1" applyAlignment="1">
      <alignment horizontal="center" vertical="top"/>
    </xf>
    <xf numFmtId="0" fontId="13" fillId="0" borderId="0" xfId="0" applyFont="1" applyFill="1" applyBorder="1" applyAlignment="1">
      <alignment horizontal="center" vertical="top"/>
    </xf>
    <xf numFmtId="164" fontId="2" fillId="8" borderId="0" xfId="0" applyNumberFormat="1" applyFont="1" applyFill="1" applyBorder="1" applyAlignment="1">
      <alignment vertical="top" wrapText="1"/>
    </xf>
    <xf numFmtId="0" fontId="17" fillId="0" borderId="0" xfId="0" applyFont="1" applyFill="1" applyBorder="1" applyAlignment="1">
      <alignment vertical="top" wrapText="1"/>
    </xf>
    <xf numFmtId="0" fontId="18" fillId="0" borderId="0" xfId="1" applyFont="1" applyFill="1" applyBorder="1" applyAlignment="1">
      <alignment vertical="top" wrapText="1"/>
    </xf>
    <xf numFmtId="0" fontId="19" fillId="0" borderId="0" xfId="0" applyFont="1" applyFill="1" applyBorder="1" applyAlignment="1">
      <alignment vertical="top" wrapText="1"/>
    </xf>
    <xf numFmtId="0" fontId="20" fillId="0" borderId="0" xfId="0" applyFont="1" applyFill="1" applyBorder="1" applyAlignment="1">
      <alignment vertical="top" wrapText="1"/>
    </xf>
    <xf numFmtId="0" fontId="18" fillId="0" borderId="0" xfId="0" applyFont="1" applyFill="1" applyBorder="1" applyAlignment="1">
      <alignment vertical="top" wrapText="1"/>
    </xf>
    <xf numFmtId="0" fontId="18" fillId="0" borderId="0" xfId="0" applyFont="1" applyBorder="1" applyAlignment="1">
      <alignment vertical="top" wrapText="1"/>
    </xf>
    <xf numFmtId="0" fontId="21" fillId="0" borderId="0" xfId="0" applyFont="1" applyFill="1" applyBorder="1" applyAlignment="1">
      <alignment vertical="top" wrapText="1"/>
    </xf>
    <xf numFmtId="0" fontId="21" fillId="0" borderId="0" xfId="0" applyFont="1" applyBorder="1" applyAlignment="1">
      <alignment vertical="top" wrapText="1"/>
    </xf>
    <xf numFmtId="0" fontId="18" fillId="0" borderId="0" xfId="0" applyFont="1" applyFill="1" applyBorder="1" applyAlignment="1">
      <alignment vertical="top"/>
    </xf>
    <xf numFmtId="0" fontId="18" fillId="0" borderId="0" xfId="0" applyFont="1" applyBorder="1" applyAlignment="1">
      <alignment vertical="top"/>
    </xf>
    <xf numFmtId="0" fontId="19" fillId="0" borderId="0" xfId="0" applyFont="1" applyFill="1" applyBorder="1" applyAlignment="1">
      <alignment vertical="top"/>
    </xf>
    <xf numFmtId="0" fontId="19" fillId="0" borderId="0" xfId="0" applyFont="1" applyBorder="1" applyAlignment="1">
      <alignment vertical="top"/>
    </xf>
    <xf numFmtId="0" fontId="22" fillId="8" borderId="2" xfId="0" applyFont="1" applyFill="1" applyBorder="1" applyAlignment="1">
      <alignment vertical="center"/>
    </xf>
    <xf numFmtId="0" fontId="22" fillId="8" borderId="3" xfId="0" applyFont="1" applyFill="1" applyBorder="1" applyAlignment="1">
      <alignment vertical="center" wrapText="1"/>
    </xf>
    <xf numFmtId="0" fontId="22" fillId="12" borderId="2" xfId="0" applyFont="1" applyFill="1" applyBorder="1" applyAlignment="1">
      <alignment vertical="center"/>
    </xf>
    <xf numFmtId="0" fontId="22" fillId="12" borderId="3" xfId="0" applyFont="1" applyFill="1" applyBorder="1" applyAlignment="1">
      <alignment vertical="center" wrapText="1"/>
    </xf>
    <xf numFmtId="0" fontId="12" fillId="0" borderId="0" xfId="1" applyFont="1" applyFill="1" applyBorder="1" applyAlignment="1">
      <alignment vertical="top" wrapText="1"/>
    </xf>
    <xf numFmtId="0" fontId="13" fillId="8" borderId="0" xfId="0" applyFont="1" applyFill="1" applyBorder="1" applyAlignment="1">
      <alignment vertical="top" wrapText="1"/>
    </xf>
    <xf numFmtId="0" fontId="2" fillId="6" borderId="0" xfId="1" applyFont="1" applyFill="1" applyBorder="1" applyAlignment="1">
      <alignment vertical="top"/>
    </xf>
    <xf numFmtId="0" fontId="13" fillId="8" borderId="0" xfId="0" applyFont="1" applyFill="1" applyBorder="1" applyAlignment="1">
      <alignment vertical="top"/>
    </xf>
    <xf numFmtId="49" fontId="2" fillId="8" borderId="0" xfId="1" applyNumberFormat="1" applyFont="1" applyFill="1" applyBorder="1" applyAlignment="1">
      <alignment horizontal="center" vertical="top"/>
    </xf>
    <xf numFmtId="0" fontId="2" fillId="8" borderId="0" xfId="1" applyFont="1" applyFill="1" applyBorder="1" applyAlignment="1">
      <alignment vertical="top" wrapText="1"/>
    </xf>
    <xf numFmtId="0" fontId="2" fillId="8" borderId="0" xfId="0" applyFont="1" applyFill="1" applyBorder="1" applyAlignment="1">
      <alignment vertical="top" wrapText="1"/>
    </xf>
    <xf numFmtId="0" fontId="14" fillId="8" borderId="0" xfId="0" applyFont="1" applyFill="1" applyBorder="1" applyAlignment="1">
      <alignment vertical="top" wrapText="1"/>
    </xf>
    <xf numFmtId="0" fontId="23" fillId="0" borderId="0" xfId="1" applyFont="1" applyFill="1" applyBorder="1" applyAlignment="1">
      <alignment horizontal="center" vertical="top" wrapText="1"/>
    </xf>
    <xf numFmtId="0" fontId="23" fillId="0" borderId="0" xfId="1" applyFont="1" applyFill="1" applyBorder="1" applyAlignment="1">
      <alignment vertical="top" wrapText="1"/>
    </xf>
    <xf numFmtId="0" fontId="23" fillId="6" borderId="0" xfId="1" applyFont="1" applyFill="1" applyBorder="1" applyAlignment="1">
      <alignment vertical="top" wrapText="1"/>
    </xf>
    <xf numFmtId="0" fontId="23" fillId="0" borderId="0" xfId="1" applyFont="1" applyFill="1" applyBorder="1" applyAlignment="1">
      <alignment horizontal="left" vertical="top" wrapText="1"/>
    </xf>
    <xf numFmtId="0" fontId="23" fillId="7" borderId="0" xfId="1" applyFont="1" applyFill="1" applyBorder="1" applyAlignment="1">
      <alignment vertical="top" wrapText="1"/>
    </xf>
    <xf numFmtId="0" fontId="24" fillId="0" borderId="0" xfId="0" applyFont="1" applyBorder="1" applyAlignment="1">
      <alignment vertical="top" wrapText="1"/>
    </xf>
    <xf numFmtId="0" fontId="2" fillId="13" borderId="0" xfId="1" applyFont="1" applyFill="1" applyBorder="1" applyAlignment="1">
      <alignment horizontal="center" vertical="top"/>
    </xf>
  </cellXfs>
  <cellStyles count="29">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who.int/healthinfo/global_burden_disease/GlobalDALYmethods_2000_20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32"/>
  <sheetViews>
    <sheetView tabSelected="1" zoomScale="110" zoomScaleNormal="110" workbookViewId="0">
      <pane xSplit="1" ySplit="1" topLeftCell="D196" activePane="bottomRight" state="frozen"/>
      <selection pane="topRight" activeCell="B1" sqref="B1"/>
      <selection pane="bottomLeft" activeCell="A2" sqref="A2"/>
      <selection pane="bottomRight" activeCell="L212" sqref="L212"/>
    </sheetView>
  </sheetViews>
  <sheetFormatPr defaultColWidth="8.85546875" defaultRowHeight="12.75" x14ac:dyDescent="0.25"/>
  <cols>
    <col min="1" max="1" width="43.42578125" style="44" customWidth="1"/>
    <col min="2" max="2" width="7.42578125" style="46" customWidth="1"/>
    <col min="3" max="3" width="35.7109375" style="44" customWidth="1"/>
    <col min="4" max="4" width="4.42578125" style="56" customWidth="1"/>
    <col min="5" max="5" width="3.7109375" style="55" customWidth="1"/>
    <col min="6" max="6" width="5.85546875" style="56" customWidth="1"/>
    <col min="7" max="7" width="8.28515625" style="56" customWidth="1"/>
    <col min="8" max="8" width="8" style="56" customWidth="1"/>
    <col min="9" max="9" width="62.85546875" style="16" customWidth="1"/>
    <col min="10" max="10" width="10" style="48" customWidth="1"/>
    <col min="11" max="11" width="37.28515625" style="16" customWidth="1"/>
    <col min="12" max="12" width="38.140625" style="16" customWidth="1"/>
    <col min="13" max="13" width="27.5703125" style="16" customWidth="1"/>
    <col min="14" max="14" width="71.28515625" style="16" customWidth="1"/>
    <col min="15" max="15" width="16.42578125" style="68" customWidth="1"/>
    <col min="16" max="16" width="35.140625" style="68" customWidth="1"/>
    <col min="17" max="17" width="38.42578125" style="69" customWidth="1"/>
    <col min="18" max="18" width="62.140625" style="87" customWidth="1"/>
    <col min="19" max="19" width="40.7109375" style="87" customWidth="1"/>
    <col min="20" max="20" width="50.85546875" style="48" bestFit="1" customWidth="1"/>
    <col min="21" max="21" width="50.85546875" style="48" customWidth="1"/>
    <col min="22" max="22" width="50.85546875" style="46" bestFit="1" customWidth="1"/>
    <col min="23" max="23" width="50.85546875" style="46" customWidth="1"/>
    <col min="24" max="24" width="50.42578125" style="46" customWidth="1"/>
    <col min="25" max="16384" width="8.85546875" style="46"/>
  </cols>
  <sheetData>
    <row r="1" spans="1:24" ht="40.5" x14ac:dyDescent="0.25">
      <c r="A1" s="44" t="s">
        <v>1157</v>
      </c>
      <c r="B1" s="4" t="s">
        <v>761</v>
      </c>
      <c r="C1" s="21" t="s">
        <v>763</v>
      </c>
      <c r="D1" s="23" t="s">
        <v>1138</v>
      </c>
      <c r="E1" s="24" t="s">
        <v>1121</v>
      </c>
      <c r="F1" s="23" t="s">
        <v>1122</v>
      </c>
      <c r="G1" s="38" t="s">
        <v>1123</v>
      </c>
      <c r="H1" s="39" t="s">
        <v>1124</v>
      </c>
      <c r="I1" s="5" t="s">
        <v>1309</v>
      </c>
      <c r="J1" s="5" t="s">
        <v>1257</v>
      </c>
      <c r="K1" s="5" t="s">
        <v>384</v>
      </c>
      <c r="L1" s="5" t="s">
        <v>759</v>
      </c>
      <c r="M1" s="5" t="s">
        <v>1331</v>
      </c>
      <c r="N1" s="5" t="s">
        <v>1332</v>
      </c>
      <c r="O1" s="59" t="s">
        <v>1160</v>
      </c>
      <c r="P1" s="59" t="s">
        <v>1161</v>
      </c>
      <c r="Q1" s="59" t="s">
        <v>1135</v>
      </c>
      <c r="R1" s="82" t="s">
        <v>509</v>
      </c>
      <c r="S1" s="82" t="s">
        <v>760</v>
      </c>
      <c r="T1" s="2" t="s">
        <v>878</v>
      </c>
      <c r="U1" s="20" t="s">
        <v>762</v>
      </c>
      <c r="V1" s="2" t="s">
        <v>1163</v>
      </c>
      <c r="W1" s="45" t="s">
        <v>1162</v>
      </c>
      <c r="X1" s="6" t="s">
        <v>930</v>
      </c>
    </row>
    <row r="2" spans="1:24" x14ac:dyDescent="0.25">
      <c r="A2" s="44" t="str">
        <f>CONCATENATE(".",V2)</f>
        <v>.All CAUSES</v>
      </c>
      <c r="B2" s="2">
        <v>0</v>
      </c>
      <c r="C2" s="21" t="s">
        <v>950</v>
      </c>
      <c r="D2" s="25">
        <v>0</v>
      </c>
      <c r="E2" s="26"/>
      <c r="F2" s="6"/>
      <c r="G2" s="40"/>
      <c r="H2" s="40" t="str">
        <f>CONCATENATE(D2,E2,F2)</f>
        <v>0</v>
      </c>
      <c r="I2" s="5"/>
      <c r="J2" s="5"/>
      <c r="K2" s="5"/>
      <c r="L2" s="5"/>
      <c r="M2" s="5"/>
      <c r="N2" s="5"/>
      <c r="O2" s="59"/>
      <c r="P2" s="59"/>
      <c r="Q2" s="59"/>
      <c r="R2" s="82"/>
      <c r="S2" s="82"/>
      <c r="T2" s="1" t="s">
        <v>951</v>
      </c>
      <c r="U2" s="1" t="s">
        <v>951</v>
      </c>
      <c r="V2" s="1" t="s">
        <v>951</v>
      </c>
      <c r="W2" s="1" t="s">
        <v>951</v>
      </c>
      <c r="X2" s="6"/>
    </row>
    <row r="3" spans="1:24" ht="41.25" x14ac:dyDescent="0.25">
      <c r="A3" s="44" t="str">
        <f>IF(H3&lt;&gt;"",IF(F3&lt;&gt;"",CONCATENATE("....",D3,".",E3,".",F3,". - ",T3),IF(E3&lt;&gt;"",CONCATENATE("...",D3,".",E3,". - ",T3),CONCATENATE("..",D3,". - ",T3))),"")</f>
        <v>..A. - Communicable, maternal, perinatal and nutritional conditions</v>
      </c>
      <c r="B3" s="2">
        <v>1</v>
      </c>
      <c r="C3" s="29" t="s">
        <v>0</v>
      </c>
      <c r="D3" s="25" t="s">
        <v>1136</v>
      </c>
      <c r="E3" s="26"/>
      <c r="F3" s="6"/>
      <c r="G3" s="40"/>
      <c r="H3" s="40" t="str">
        <f>CONCATENATE(D3,E3,F3)</f>
        <v>A</v>
      </c>
      <c r="I3" s="5"/>
      <c r="J3" s="5"/>
      <c r="K3" s="5"/>
      <c r="L3" s="5"/>
      <c r="M3" s="5"/>
      <c r="N3" s="5"/>
      <c r="O3" s="59" t="s">
        <v>385</v>
      </c>
      <c r="P3" s="59" t="s">
        <v>947</v>
      </c>
      <c r="Q3" s="59"/>
      <c r="R3" s="83" t="s">
        <v>510</v>
      </c>
      <c r="S3" s="83" t="s">
        <v>670</v>
      </c>
      <c r="T3" s="2" t="s">
        <v>143</v>
      </c>
      <c r="U3" s="20" t="s">
        <v>0</v>
      </c>
      <c r="V3" s="2" t="s">
        <v>143</v>
      </c>
      <c r="W3" s="45" t="s">
        <v>0</v>
      </c>
      <c r="X3" s="2"/>
    </row>
    <row r="4" spans="1:24" x14ac:dyDescent="0.25">
      <c r="A4" s="44" t="str">
        <f t="shared" ref="A4:A67" si="0">IF(H4&lt;&gt;"",IF(F4&lt;&gt;"",CONCATENATE("....",D4,".",E4,".",F4,". - ",T4),IF(E4&lt;&gt;"",CONCATENATE("...",D4,".",E4,". - ",T4),CONCATENATE("..",D4,". - ",T4))),"")</f>
        <v>...A.99. - Other Infectious Diseases</v>
      </c>
      <c r="B4" s="2"/>
      <c r="C4" s="29" t="s">
        <v>1128</v>
      </c>
      <c r="D4" s="6" t="s">
        <v>1136</v>
      </c>
      <c r="E4" s="26">
        <v>99</v>
      </c>
      <c r="F4" s="6"/>
      <c r="G4" s="40"/>
      <c r="H4" s="40" t="str">
        <f>CONCATENATE(D4,E4,F4)</f>
        <v>A99</v>
      </c>
      <c r="I4" s="5"/>
      <c r="J4" s="5"/>
      <c r="K4" s="5"/>
      <c r="L4" s="5"/>
      <c r="M4" s="5"/>
      <c r="N4" s="5"/>
      <c r="O4" s="59"/>
      <c r="P4" s="59"/>
      <c r="Q4" s="59"/>
      <c r="R4" s="83"/>
      <c r="S4" s="83"/>
      <c r="T4" s="20" t="s">
        <v>1128</v>
      </c>
      <c r="U4" s="20"/>
      <c r="V4" s="3" t="s">
        <v>1128</v>
      </c>
      <c r="W4" s="45"/>
      <c r="X4" s="2"/>
    </row>
    <row r="5" spans="1:24" ht="24" x14ac:dyDescent="0.25">
      <c r="A5" s="44" t="str">
        <f t="shared" si="0"/>
        <v/>
      </c>
      <c r="B5" s="2">
        <v>2</v>
      </c>
      <c r="C5" s="30" t="s">
        <v>1</v>
      </c>
      <c r="D5" s="6" t="s">
        <v>952</v>
      </c>
      <c r="E5" s="26"/>
      <c r="F5" s="6"/>
      <c r="G5" s="40"/>
      <c r="H5" s="40"/>
      <c r="I5" s="5"/>
      <c r="J5" s="5"/>
      <c r="K5" s="5"/>
      <c r="L5" s="5"/>
      <c r="M5" s="5"/>
      <c r="N5" s="5"/>
      <c r="O5" s="59" t="s">
        <v>386</v>
      </c>
      <c r="P5" s="59" t="s">
        <v>320</v>
      </c>
      <c r="Q5" s="59"/>
      <c r="R5" s="83" t="s">
        <v>671</v>
      </c>
      <c r="S5" s="84" t="s">
        <v>672</v>
      </c>
      <c r="T5" s="2" t="s">
        <v>144</v>
      </c>
      <c r="U5" s="20" t="s">
        <v>1</v>
      </c>
      <c r="V5" s="2" t="s">
        <v>144</v>
      </c>
      <c r="W5" s="45" t="s">
        <v>1</v>
      </c>
      <c r="X5" s="2"/>
    </row>
    <row r="6" spans="1:24" x14ac:dyDescent="0.25">
      <c r="A6" s="44" t="str">
        <f t="shared" si="0"/>
        <v>...A.01. - Tuberculosis</v>
      </c>
      <c r="B6" s="2">
        <v>3</v>
      </c>
      <c r="C6" s="31" t="s">
        <v>2</v>
      </c>
      <c r="D6" s="6" t="s">
        <v>1136</v>
      </c>
      <c r="E6" s="26" t="s">
        <v>1142</v>
      </c>
      <c r="F6" s="6"/>
      <c r="G6" s="40" t="str">
        <f>CONCATENATE("c",D6,E6,F6)</f>
        <v>cA01</v>
      </c>
      <c r="H6" s="40" t="str">
        <f>CONCATENATE(D6,E6,F6)</f>
        <v>A01</v>
      </c>
      <c r="I6" s="5"/>
      <c r="J6" s="5"/>
      <c r="K6" s="5" t="s">
        <v>387</v>
      </c>
      <c r="L6" s="16" t="s">
        <v>321</v>
      </c>
      <c r="O6" s="59" t="s">
        <v>387</v>
      </c>
      <c r="P6" s="60" t="s">
        <v>321</v>
      </c>
      <c r="Q6" s="60"/>
      <c r="R6" s="83" t="s">
        <v>511</v>
      </c>
      <c r="S6" s="83" t="s">
        <v>1111</v>
      </c>
      <c r="T6" s="5" t="s">
        <v>145</v>
      </c>
      <c r="U6" s="20" t="s">
        <v>2</v>
      </c>
      <c r="V6" s="5" t="s">
        <v>145</v>
      </c>
      <c r="W6" s="45" t="s">
        <v>2</v>
      </c>
      <c r="X6" s="2"/>
    </row>
    <row r="7" spans="1:24" ht="25.5" x14ac:dyDescent="0.25">
      <c r="A7" s="44" t="str">
        <f t="shared" si="0"/>
        <v>...A.02. - HIV/ and other Sexually transmitted diseases (STDs)</v>
      </c>
      <c r="B7" s="2"/>
      <c r="C7" s="32" t="s">
        <v>1125</v>
      </c>
      <c r="D7" s="6" t="s">
        <v>1136</v>
      </c>
      <c r="E7" s="26" t="s">
        <v>1143</v>
      </c>
      <c r="F7" s="6"/>
      <c r="G7" s="40"/>
      <c r="H7" s="40" t="str">
        <f>CONCATENATE(D7,E7,F7)</f>
        <v>A02</v>
      </c>
      <c r="I7" s="5"/>
      <c r="J7" s="5"/>
      <c r="K7" s="5"/>
      <c r="L7" s="5"/>
      <c r="M7" s="5"/>
      <c r="N7" s="5"/>
      <c r="O7" s="59"/>
      <c r="P7" s="59"/>
      <c r="Q7" s="59"/>
      <c r="R7" s="83"/>
      <c r="S7" s="83"/>
      <c r="T7" s="2" t="s">
        <v>1154</v>
      </c>
      <c r="U7" s="20"/>
      <c r="V7" s="2" t="s">
        <v>1154</v>
      </c>
      <c r="W7" s="45"/>
      <c r="X7" s="2"/>
    </row>
    <row r="8" spans="1:24" ht="25.5" x14ac:dyDescent="0.25">
      <c r="A8" s="44" t="str">
        <f t="shared" si="0"/>
        <v>....A.02.a. - Sexually transmitted diseases (STDs) excluding HIV</v>
      </c>
      <c r="B8" s="2">
        <v>4</v>
      </c>
      <c r="C8" s="32" t="s">
        <v>1131</v>
      </c>
      <c r="D8" s="6" t="s">
        <v>1136</v>
      </c>
      <c r="E8" s="26" t="s">
        <v>1143</v>
      </c>
      <c r="F8" s="6" t="s">
        <v>1126</v>
      </c>
      <c r="G8" s="40" t="s">
        <v>952</v>
      </c>
      <c r="H8" s="40" t="str">
        <f>CONCATENATE(D8,E8,F8)</f>
        <v>A02a</v>
      </c>
      <c r="I8" s="5"/>
      <c r="J8" s="5"/>
      <c r="K8" s="5" t="s">
        <v>952</v>
      </c>
      <c r="L8" s="5" t="s">
        <v>952</v>
      </c>
      <c r="M8" s="5"/>
      <c r="N8" s="5"/>
      <c r="O8" s="59" t="s">
        <v>388</v>
      </c>
      <c r="P8" s="59" t="s">
        <v>322</v>
      </c>
      <c r="Q8" s="59"/>
      <c r="R8" s="83" t="s">
        <v>512</v>
      </c>
      <c r="S8" s="83" t="s">
        <v>1048</v>
      </c>
      <c r="T8" s="2" t="s">
        <v>146</v>
      </c>
      <c r="U8" s="20" t="s">
        <v>3</v>
      </c>
      <c r="V8" s="2" t="s">
        <v>146</v>
      </c>
      <c r="W8" s="45" t="s">
        <v>3</v>
      </c>
      <c r="X8" s="2"/>
    </row>
    <row r="9" spans="1:24" x14ac:dyDescent="0.25">
      <c r="A9" s="44" t="str">
        <f t="shared" si="0"/>
        <v/>
      </c>
      <c r="B9" s="2">
        <v>5</v>
      </c>
      <c r="C9" s="33" t="s">
        <v>4</v>
      </c>
      <c r="D9" s="6" t="s">
        <v>1136</v>
      </c>
      <c r="E9" s="26" t="s">
        <v>1143</v>
      </c>
      <c r="F9" s="6" t="s">
        <v>1126</v>
      </c>
      <c r="G9" s="40" t="str">
        <f>CONCATENATE("c",D9,E9,F9)</f>
        <v>cA02a</v>
      </c>
      <c r="H9" s="40"/>
      <c r="I9" s="5"/>
      <c r="J9" s="5"/>
      <c r="K9" s="5" t="s">
        <v>389</v>
      </c>
      <c r="L9" s="16" t="s">
        <v>323</v>
      </c>
      <c r="O9" s="59" t="s">
        <v>389</v>
      </c>
      <c r="P9" s="60" t="s">
        <v>323</v>
      </c>
      <c r="Q9" s="60"/>
      <c r="R9" s="83" t="s">
        <v>513</v>
      </c>
      <c r="S9" s="83" t="s">
        <v>1049</v>
      </c>
      <c r="T9" s="5" t="s">
        <v>147</v>
      </c>
      <c r="U9" s="20" t="s">
        <v>4</v>
      </c>
      <c r="V9" s="5" t="s">
        <v>147</v>
      </c>
      <c r="W9" s="45" t="s">
        <v>4</v>
      </c>
      <c r="X9" s="2"/>
    </row>
    <row r="10" spans="1:24" x14ac:dyDescent="0.25">
      <c r="A10" s="44" t="str">
        <f t="shared" si="0"/>
        <v/>
      </c>
      <c r="B10" s="2">
        <v>6</v>
      </c>
      <c r="C10" s="33" t="s">
        <v>5</v>
      </c>
      <c r="D10" s="6" t="s">
        <v>1136</v>
      </c>
      <c r="E10" s="26" t="s">
        <v>1143</v>
      </c>
      <c r="F10" s="6" t="s">
        <v>1126</v>
      </c>
      <c r="G10" s="40" t="str">
        <f>CONCATENATE("c",D10,E10,F10)</f>
        <v>cA02a</v>
      </c>
      <c r="H10" s="40"/>
      <c r="I10" s="5"/>
      <c r="J10" s="5"/>
      <c r="K10" s="5" t="s">
        <v>390</v>
      </c>
      <c r="L10" s="16" t="s">
        <v>324</v>
      </c>
      <c r="O10" s="59" t="s">
        <v>390</v>
      </c>
      <c r="P10" s="60" t="s">
        <v>324</v>
      </c>
      <c r="Q10" s="60"/>
      <c r="R10" s="83" t="s">
        <v>514</v>
      </c>
      <c r="S10" s="84" t="s">
        <v>1058</v>
      </c>
      <c r="T10" s="5" t="s">
        <v>148</v>
      </c>
      <c r="U10" s="20" t="s">
        <v>5</v>
      </c>
      <c r="V10" s="5" t="s">
        <v>148</v>
      </c>
      <c r="W10" s="45" t="s">
        <v>5</v>
      </c>
      <c r="X10" s="2"/>
    </row>
    <row r="11" spans="1:24" x14ac:dyDescent="0.25">
      <c r="A11" s="44" t="str">
        <f t="shared" si="0"/>
        <v/>
      </c>
      <c r="B11" s="2">
        <v>7</v>
      </c>
      <c r="C11" s="33" t="s">
        <v>6</v>
      </c>
      <c r="D11" s="6" t="s">
        <v>1136</v>
      </c>
      <c r="E11" s="26" t="s">
        <v>1143</v>
      </c>
      <c r="F11" s="6" t="s">
        <v>1126</v>
      </c>
      <c r="G11" s="40" t="str">
        <f>CONCATENATE("c",D11,E11,F11)</f>
        <v>cA02a</v>
      </c>
      <c r="H11" s="40"/>
      <c r="I11" s="5"/>
      <c r="J11" s="5"/>
      <c r="K11" s="5" t="s">
        <v>325</v>
      </c>
      <c r="L11" s="16" t="s">
        <v>325</v>
      </c>
      <c r="O11" s="59" t="s">
        <v>325</v>
      </c>
      <c r="P11" s="60" t="s">
        <v>325</v>
      </c>
      <c r="Q11" s="60"/>
      <c r="R11" s="83" t="s">
        <v>515</v>
      </c>
      <c r="S11" s="83" t="s">
        <v>1047</v>
      </c>
      <c r="T11" s="5" t="s">
        <v>1401</v>
      </c>
      <c r="U11" s="20" t="s">
        <v>6</v>
      </c>
      <c r="V11" s="5" t="s">
        <v>149</v>
      </c>
      <c r="W11" s="45" t="s">
        <v>6</v>
      </c>
      <c r="X11" s="2"/>
    </row>
    <row r="12" spans="1:24" x14ac:dyDescent="0.25">
      <c r="A12" s="44" t="str">
        <f t="shared" si="0"/>
        <v/>
      </c>
      <c r="B12" s="2">
        <v>8</v>
      </c>
      <c r="C12" s="33" t="s">
        <v>7</v>
      </c>
      <c r="D12" s="6" t="s">
        <v>1136</v>
      </c>
      <c r="E12" s="26" t="s">
        <v>1143</v>
      </c>
      <c r="F12" s="6" t="s">
        <v>1126</v>
      </c>
      <c r="G12" s="40" t="str">
        <f>CONCATENATE("c",D12,E12,F12)</f>
        <v>cA02a</v>
      </c>
      <c r="H12" s="40"/>
      <c r="I12" s="5"/>
      <c r="J12" s="5"/>
      <c r="K12" s="5" t="s">
        <v>326</v>
      </c>
      <c r="L12" s="16" t="s">
        <v>326</v>
      </c>
      <c r="O12" s="59" t="s">
        <v>326</v>
      </c>
      <c r="P12" s="60" t="s">
        <v>326</v>
      </c>
      <c r="Q12" s="60"/>
      <c r="R12" s="83"/>
      <c r="S12" s="83"/>
      <c r="T12" s="5" t="s">
        <v>150</v>
      </c>
      <c r="U12" s="20" t="s">
        <v>7</v>
      </c>
      <c r="V12" s="5" t="s">
        <v>150</v>
      </c>
      <c r="W12" s="45" t="s">
        <v>7</v>
      </c>
      <c r="X12" s="2" t="s">
        <v>516</v>
      </c>
    </row>
    <row r="13" spans="1:24" ht="16.5" x14ac:dyDescent="0.25">
      <c r="A13" s="44" t="str">
        <f t="shared" si="0"/>
        <v/>
      </c>
      <c r="B13" s="2">
        <v>9</v>
      </c>
      <c r="C13" s="33" t="s">
        <v>8</v>
      </c>
      <c r="D13" s="6" t="s">
        <v>1136</v>
      </c>
      <c r="E13" s="26" t="s">
        <v>1143</v>
      </c>
      <c r="F13" s="6" t="s">
        <v>1126</v>
      </c>
      <c r="G13" s="40" t="str">
        <f>CONCATENATE("c",D13,E13,F13)</f>
        <v>cA02a</v>
      </c>
      <c r="H13" s="40"/>
      <c r="I13" s="5"/>
      <c r="J13" s="5"/>
      <c r="K13" s="5" t="s">
        <v>391</v>
      </c>
      <c r="L13" s="16" t="s">
        <v>327</v>
      </c>
      <c r="O13" s="59" t="s">
        <v>391</v>
      </c>
      <c r="P13" s="60" t="s">
        <v>327</v>
      </c>
      <c r="Q13" s="60"/>
      <c r="R13" s="83" t="s">
        <v>517</v>
      </c>
      <c r="S13" s="83" t="s">
        <v>1046</v>
      </c>
      <c r="T13" s="5" t="s">
        <v>151</v>
      </c>
      <c r="U13" s="20" t="s">
        <v>8</v>
      </c>
      <c r="V13" s="5" t="s">
        <v>151</v>
      </c>
      <c r="W13" s="45" t="s">
        <v>8</v>
      </c>
      <c r="X13" s="2"/>
    </row>
    <row r="14" spans="1:24" x14ac:dyDescent="0.25">
      <c r="A14" s="44" t="str">
        <f t="shared" si="0"/>
        <v>....A.02.b. - HIV/AIDS</v>
      </c>
      <c r="B14" s="2">
        <v>10</v>
      </c>
      <c r="C14" s="32" t="s">
        <v>1132</v>
      </c>
      <c r="D14" s="6" t="s">
        <v>1136</v>
      </c>
      <c r="E14" s="26" t="s">
        <v>1143</v>
      </c>
      <c r="F14" s="6" t="s">
        <v>1127</v>
      </c>
      <c r="G14" s="40" t="s">
        <v>952</v>
      </c>
      <c r="H14" s="40" t="str">
        <f>CONCATENATE(D14,E14,F14)</f>
        <v>A02b</v>
      </c>
      <c r="I14" s="5"/>
      <c r="J14" s="5"/>
      <c r="K14" s="5" t="s">
        <v>952</v>
      </c>
      <c r="L14" s="16" t="s">
        <v>952</v>
      </c>
      <c r="O14" s="59" t="s">
        <v>392</v>
      </c>
      <c r="P14" s="60" t="s">
        <v>328</v>
      </c>
      <c r="Q14" s="60"/>
      <c r="R14" s="83" t="s">
        <v>518</v>
      </c>
      <c r="S14" s="83" t="s">
        <v>1013</v>
      </c>
      <c r="T14" s="5" t="s">
        <v>152</v>
      </c>
      <c r="U14" s="20" t="s">
        <v>9</v>
      </c>
      <c r="V14" s="5" t="s">
        <v>152</v>
      </c>
      <c r="W14" s="45" t="s">
        <v>9</v>
      </c>
      <c r="X14" s="2"/>
    </row>
    <row r="15" spans="1:24" x14ac:dyDescent="0.25">
      <c r="A15" s="44" t="str">
        <f t="shared" si="0"/>
        <v/>
      </c>
      <c r="B15" s="2">
        <v>11</v>
      </c>
      <c r="C15" s="33" t="s">
        <v>686</v>
      </c>
      <c r="D15" s="6" t="s">
        <v>1136</v>
      </c>
      <c r="E15" s="26" t="s">
        <v>1143</v>
      </c>
      <c r="F15" s="6" t="s">
        <v>1127</v>
      </c>
      <c r="G15" s="40" t="str">
        <f>CONCATENATE("c",D15,E15,F15)</f>
        <v>cA02b</v>
      </c>
      <c r="H15" s="40"/>
      <c r="I15" s="5"/>
      <c r="J15" s="5"/>
      <c r="K15" s="5" t="s">
        <v>393</v>
      </c>
      <c r="L15" s="16" t="s">
        <v>329</v>
      </c>
      <c r="O15" s="59" t="s">
        <v>393</v>
      </c>
      <c r="P15" s="60" t="s">
        <v>329</v>
      </c>
      <c r="Q15" s="60"/>
      <c r="R15" s="83"/>
      <c r="S15" s="83"/>
      <c r="T15" s="5" t="s">
        <v>153</v>
      </c>
      <c r="U15" s="20" t="s">
        <v>686</v>
      </c>
      <c r="V15" s="5" t="s">
        <v>153</v>
      </c>
      <c r="W15" s="45" t="s">
        <v>686</v>
      </c>
      <c r="X15" s="2"/>
    </row>
    <row r="16" spans="1:24" x14ac:dyDescent="0.25">
      <c r="A16" s="44" t="str">
        <f t="shared" si="0"/>
        <v/>
      </c>
      <c r="B16" s="2">
        <v>12</v>
      </c>
      <c r="C16" s="33" t="s">
        <v>687</v>
      </c>
      <c r="D16" s="6" t="s">
        <v>1136</v>
      </c>
      <c r="E16" s="26" t="s">
        <v>1143</v>
      </c>
      <c r="F16" s="6" t="s">
        <v>1127</v>
      </c>
      <c r="G16" s="40" t="str">
        <f>CONCATENATE("c",D16,E16,F16)</f>
        <v>cA02b</v>
      </c>
      <c r="H16" s="40"/>
      <c r="I16" s="5"/>
      <c r="J16" s="5"/>
      <c r="K16" s="5" t="s">
        <v>960</v>
      </c>
      <c r="L16" s="16" t="s">
        <v>330</v>
      </c>
      <c r="O16" s="59" t="s">
        <v>960</v>
      </c>
      <c r="P16" s="60" t="s">
        <v>330</v>
      </c>
      <c r="Q16" s="60"/>
      <c r="R16" s="83" t="s">
        <v>519</v>
      </c>
      <c r="S16" s="83" t="s">
        <v>1013</v>
      </c>
      <c r="T16" s="5" t="s">
        <v>154</v>
      </c>
      <c r="U16" s="20" t="s">
        <v>687</v>
      </c>
      <c r="V16" s="5" t="s">
        <v>154</v>
      </c>
      <c r="W16" s="45" t="s">
        <v>687</v>
      </c>
      <c r="X16" s="2"/>
    </row>
    <row r="17" spans="1:24" ht="16.5" x14ac:dyDescent="0.25">
      <c r="A17" s="44" t="str">
        <f t="shared" si="0"/>
        <v/>
      </c>
      <c r="B17" s="2">
        <v>13</v>
      </c>
      <c r="C17" s="31" t="s">
        <v>10</v>
      </c>
      <c r="D17" s="6" t="s">
        <v>1136</v>
      </c>
      <c r="E17" s="26">
        <v>99</v>
      </c>
      <c r="F17" s="6"/>
      <c r="G17" s="40" t="str">
        <f>CONCATENATE("c",D17,E17,F17)</f>
        <v>cA99</v>
      </c>
      <c r="H17" s="40"/>
      <c r="I17" s="5"/>
      <c r="J17" s="5"/>
      <c r="K17" s="5" t="s">
        <v>394</v>
      </c>
      <c r="L17" s="16" t="s">
        <v>331</v>
      </c>
      <c r="O17" s="59" t="s">
        <v>394</v>
      </c>
      <c r="P17" s="60" t="s">
        <v>331</v>
      </c>
      <c r="Q17" s="60"/>
      <c r="R17" s="83" t="s">
        <v>520</v>
      </c>
      <c r="S17" s="83" t="s">
        <v>1059</v>
      </c>
      <c r="T17" s="5" t="s">
        <v>1402</v>
      </c>
      <c r="U17" s="20" t="s">
        <v>10</v>
      </c>
      <c r="V17" s="5" t="s">
        <v>155</v>
      </c>
      <c r="W17" s="45" t="s">
        <v>10</v>
      </c>
      <c r="X17" s="2"/>
    </row>
    <row r="18" spans="1:24" x14ac:dyDescent="0.25">
      <c r="A18" s="44" t="str">
        <f t="shared" si="0"/>
        <v/>
      </c>
      <c r="B18" s="2">
        <v>14</v>
      </c>
      <c r="C18" s="31" t="s">
        <v>11</v>
      </c>
      <c r="D18" s="6" t="s">
        <v>952</v>
      </c>
      <c r="E18" s="26" t="s">
        <v>952</v>
      </c>
      <c r="F18" s="6"/>
      <c r="G18" s="40"/>
      <c r="H18" s="40"/>
      <c r="I18" s="5"/>
      <c r="J18" s="5"/>
      <c r="K18" s="5" t="s">
        <v>952</v>
      </c>
      <c r="L18" s="5" t="s">
        <v>952</v>
      </c>
      <c r="M18" s="5"/>
      <c r="N18" s="5"/>
      <c r="O18" s="59" t="s">
        <v>395</v>
      </c>
      <c r="P18" s="59" t="s">
        <v>332</v>
      </c>
      <c r="Q18" s="59"/>
      <c r="R18" s="83"/>
      <c r="S18" s="83"/>
      <c r="T18" s="2" t="s">
        <v>156</v>
      </c>
      <c r="U18" s="20" t="s">
        <v>11</v>
      </c>
      <c r="V18" s="2" t="s">
        <v>156</v>
      </c>
      <c r="W18" s="45" t="s">
        <v>11</v>
      </c>
    </row>
    <row r="19" spans="1:24" x14ac:dyDescent="0.25">
      <c r="A19" s="44" t="str">
        <f t="shared" si="0"/>
        <v/>
      </c>
      <c r="B19" s="2">
        <v>15</v>
      </c>
      <c r="C19" s="33" t="s">
        <v>12</v>
      </c>
      <c r="D19" s="6" t="s">
        <v>1136</v>
      </c>
      <c r="E19" s="26">
        <v>99</v>
      </c>
      <c r="F19" s="6"/>
      <c r="G19" s="40" t="str">
        <f t="shared" ref="G19:G24" si="1">CONCATENATE("c",D19,E19,F19)</f>
        <v>cA99</v>
      </c>
      <c r="H19" s="40"/>
      <c r="I19" s="5"/>
      <c r="J19" s="5"/>
      <c r="K19" s="5" t="s">
        <v>333</v>
      </c>
      <c r="L19" s="16" t="s">
        <v>333</v>
      </c>
      <c r="O19" s="59" t="s">
        <v>333</v>
      </c>
      <c r="P19" s="60" t="s">
        <v>333</v>
      </c>
      <c r="Q19" s="60"/>
      <c r="R19" s="83" t="s">
        <v>521</v>
      </c>
      <c r="S19" s="83" t="s">
        <v>1060</v>
      </c>
      <c r="T19" s="5" t="s">
        <v>157</v>
      </c>
      <c r="U19" s="20" t="s">
        <v>12</v>
      </c>
      <c r="V19" s="5" t="s">
        <v>157</v>
      </c>
      <c r="W19" s="45" t="s">
        <v>12</v>
      </c>
      <c r="X19" s="2"/>
    </row>
    <row r="20" spans="1:24" x14ac:dyDescent="0.25">
      <c r="A20" s="44" t="str">
        <f t="shared" si="0"/>
        <v/>
      </c>
      <c r="B20" s="2">
        <v>16</v>
      </c>
      <c r="C20" s="33" t="s">
        <v>13</v>
      </c>
      <c r="D20" s="6" t="s">
        <v>1136</v>
      </c>
      <c r="E20" s="26">
        <v>99</v>
      </c>
      <c r="F20" s="6"/>
      <c r="G20" s="40" t="str">
        <f t="shared" si="1"/>
        <v>cA99</v>
      </c>
      <c r="H20" s="40"/>
      <c r="I20" s="5"/>
      <c r="J20" s="5"/>
      <c r="K20" s="5" t="s">
        <v>334</v>
      </c>
      <c r="L20" s="16" t="s">
        <v>334</v>
      </c>
      <c r="O20" s="59" t="s">
        <v>334</v>
      </c>
      <c r="P20" s="60" t="s">
        <v>334</v>
      </c>
      <c r="Q20" s="60"/>
      <c r="R20" s="83" t="s">
        <v>522</v>
      </c>
      <c r="S20" s="83" t="s">
        <v>1044</v>
      </c>
      <c r="T20" s="5" t="s">
        <v>158</v>
      </c>
      <c r="U20" s="20" t="s">
        <v>13</v>
      </c>
      <c r="V20" s="5" t="s">
        <v>158</v>
      </c>
      <c r="W20" s="45" t="s">
        <v>13</v>
      </c>
      <c r="X20" s="2"/>
    </row>
    <row r="21" spans="1:24" x14ac:dyDescent="0.25">
      <c r="A21" s="44" t="str">
        <f t="shared" si="0"/>
        <v/>
      </c>
      <c r="B21" s="2">
        <v>17</v>
      </c>
      <c r="C21" s="33" t="s">
        <v>14</v>
      </c>
      <c r="D21" s="6" t="s">
        <v>1136</v>
      </c>
      <c r="E21" s="26">
        <v>99</v>
      </c>
      <c r="F21" s="6"/>
      <c r="G21" s="40" t="str">
        <f t="shared" si="1"/>
        <v>cA99</v>
      </c>
      <c r="H21" s="40"/>
      <c r="I21" s="5"/>
      <c r="J21" s="5"/>
      <c r="K21" s="5" t="s">
        <v>335</v>
      </c>
      <c r="L21" s="16" t="s">
        <v>335</v>
      </c>
      <c r="O21" s="59" t="s">
        <v>335</v>
      </c>
      <c r="P21" s="60" t="s">
        <v>335</v>
      </c>
      <c r="Q21" s="60"/>
      <c r="R21" s="83" t="s">
        <v>523</v>
      </c>
      <c r="S21" s="83" t="s">
        <v>1045</v>
      </c>
      <c r="T21" s="5" t="s">
        <v>159</v>
      </c>
      <c r="U21" s="20" t="s">
        <v>14</v>
      </c>
      <c r="V21" s="5" t="s">
        <v>159</v>
      </c>
      <c r="W21" s="45" t="s">
        <v>14</v>
      </c>
      <c r="X21" s="2"/>
    </row>
    <row r="22" spans="1:24" x14ac:dyDescent="0.25">
      <c r="A22" s="44" t="str">
        <f t="shared" si="0"/>
        <v/>
      </c>
      <c r="B22" s="2">
        <v>18</v>
      </c>
      <c r="C22" s="33" t="s">
        <v>15</v>
      </c>
      <c r="D22" s="6" t="s">
        <v>1136</v>
      </c>
      <c r="E22" s="26">
        <v>99</v>
      </c>
      <c r="F22" s="6"/>
      <c r="G22" s="40" t="str">
        <f t="shared" si="1"/>
        <v>cA99</v>
      </c>
      <c r="H22" s="40"/>
      <c r="I22" s="5"/>
      <c r="J22" s="5"/>
      <c r="K22" s="5" t="s">
        <v>396</v>
      </c>
      <c r="L22" s="16" t="s">
        <v>336</v>
      </c>
      <c r="O22" s="59" t="s">
        <v>396</v>
      </c>
      <c r="P22" s="60" t="s">
        <v>336</v>
      </c>
      <c r="Q22" s="60"/>
      <c r="R22" s="83" t="s">
        <v>524</v>
      </c>
      <c r="S22" s="83" t="s">
        <v>1043</v>
      </c>
      <c r="T22" s="5" t="s">
        <v>160</v>
      </c>
      <c r="U22" s="20" t="s">
        <v>15</v>
      </c>
      <c r="V22" s="5" t="s">
        <v>160</v>
      </c>
      <c r="W22" s="45" t="s">
        <v>15</v>
      </c>
      <c r="X22" s="2"/>
    </row>
    <row r="23" spans="1:24" x14ac:dyDescent="0.25">
      <c r="A23" s="44" t="str">
        <f t="shared" si="0"/>
        <v>...A.04. - Meningitis</v>
      </c>
      <c r="B23" s="2">
        <v>19</v>
      </c>
      <c r="C23" s="31" t="s">
        <v>16</v>
      </c>
      <c r="D23" s="6" t="s">
        <v>1136</v>
      </c>
      <c r="E23" s="26" t="s">
        <v>1145</v>
      </c>
      <c r="F23" s="6"/>
      <c r="G23" s="40" t="str">
        <f t="shared" si="1"/>
        <v>cA04</v>
      </c>
      <c r="H23" s="40" t="str">
        <f>CONCATENATE(D23,E23,F23)</f>
        <v>A04</v>
      </c>
      <c r="I23" s="5"/>
      <c r="J23" s="5"/>
      <c r="K23" s="5" t="s">
        <v>397</v>
      </c>
      <c r="L23" s="16" t="s">
        <v>337</v>
      </c>
      <c r="O23" s="59" t="s">
        <v>397</v>
      </c>
      <c r="P23" s="60" t="s">
        <v>337</v>
      </c>
      <c r="Q23" s="60"/>
      <c r="R23" s="83" t="s">
        <v>525</v>
      </c>
      <c r="S23" s="83" t="s">
        <v>1112</v>
      </c>
      <c r="T23" s="5" t="s">
        <v>161</v>
      </c>
      <c r="U23" s="20" t="s">
        <v>16</v>
      </c>
      <c r="V23" s="5" t="s">
        <v>161</v>
      </c>
      <c r="W23" s="45" t="s">
        <v>16</v>
      </c>
      <c r="X23" s="2"/>
    </row>
    <row r="24" spans="1:24" x14ac:dyDescent="0.25">
      <c r="A24" s="44" t="str">
        <f t="shared" si="0"/>
        <v>...A.05. - Encephalitis</v>
      </c>
      <c r="B24" s="2">
        <v>20</v>
      </c>
      <c r="C24" s="31" t="s">
        <v>17</v>
      </c>
      <c r="D24" s="6" t="s">
        <v>1136</v>
      </c>
      <c r="E24" s="26" t="s">
        <v>1146</v>
      </c>
      <c r="F24" s="6"/>
      <c r="G24" s="40" t="str">
        <f t="shared" si="1"/>
        <v>cA05</v>
      </c>
      <c r="H24" s="40" t="str">
        <f>CONCATENATE(D24,E24,F24)</f>
        <v>A05</v>
      </c>
      <c r="I24" s="5"/>
      <c r="J24" s="5"/>
      <c r="K24" s="5" t="s">
        <v>398</v>
      </c>
      <c r="L24" s="16" t="s">
        <v>338</v>
      </c>
      <c r="O24" s="59" t="s">
        <v>398</v>
      </c>
      <c r="P24" s="60" t="s">
        <v>338</v>
      </c>
      <c r="Q24" s="60"/>
      <c r="R24" s="83" t="s">
        <v>526</v>
      </c>
      <c r="S24" s="83" t="s">
        <v>1061</v>
      </c>
      <c r="T24" s="5" t="s">
        <v>162</v>
      </c>
      <c r="U24" s="20" t="s">
        <v>17</v>
      </c>
      <c r="V24" s="5" t="s">
        <v>162</v>
      </c>
      <c r="W24" s="45" t="s">
        <v>17</v>
      </c>
      <c r="X24" s="2"/>
    </row>
    <row r="25" spans="1:24" x14ac:dyDescent="0.25">
      <c r="A25" s="44" t="str">
        <f t="shared" si="0"/>
        <v>...A.06. - Hepatitis</v>
      </c>
      <c r="B25" s="2">
        <v>21</v>
      </c>
      <c r="C25" s="31" t="s">
        <v>688</v>
      </c>
      <c r="D25" s="6" t="s">
        <v>1136</v>
      </c>
      <c r="E25" s="26" t="s">
        <v>1147</v>
      </c>
      <c r="F25" s="6"/>
      <c r="G25" s="40"/>
      <c r="H25" s="40" t="str">
        <f>CONCATENATE(D25,E25,F25)</f>
        <v>A06</v>
      </c>
      <c r="I25" s="5"/>
      <c r="J25" s="5"/>
      <c r="K25" s="5" t="s">
        <v>961</v>
      </c>
      <c r="L25" s="16" t="s">
        <v>339</v>
      </c>
      <c r="O25" s="59" t="s">
        <v>961</v>
      </c>
      <c r="P25" s="60" t="s">
        <v>339</v>
      </c>
      <c r="Q25" s="60"/>
      <c r="R25" s="83"/>
      <c r="S25" s="83"/>
      <c r="T25" s="5" t="s">
        <v>163</v>
      </c>
      <c r="U25" s="20" t="s">
        <v>688</v>
      </c>
      <c r="V25" s="5" t="s">
        <v>163</v>
      </c>
      <c r="W25" s="45" t="s">
        <v>688</v>
      </c>
      <c r="X25" s="2"/>
    </row>
    <row r="26" spans="1:24" x14ac:dyDescent="0.25">
      <c r="A26" s="44" t="str">
        <f t="shared" si="0"/>
        <v/>
      </c>
      <c r="B26" s="2">
        <v>22</v>
      </c>
      <c r="C26" s="33" t="s">
        <v>689</v>
      </c>
      <c r="D26" s="6" t="s">
        <v>1136</v>
      </c>
      <c r="E26" s="26" t="s">
        <v>1147</v>
      </c>
      <c r="F26" s="6"/>
      <c r="G26" s="40" t="str">
        <f>CONCATENATE("c",D26,E26,F26)</f>
        <v>cA06</v>
      </c>
      <c r="H26" s="40"/>
      <c r="I26" s="5"/>
      <c r="J26" s="5"/>
      <c r="K26" s="5" t="s">
        <v>340</v>
      </c>
      <c r="L26" s="16" t="s">
        <v>340</v>
      </c>
      <c r="O26" s="59" t="s">
        <v>340</v>
      </c>
      <c r="P26" s="60" t="s">
        <v>340</v>
      </c>
      <c r="Q26" s="60"/>
      <c r="R26" s="83"/>
      <c r="S26" s="83"/>
      <c r="T26" s="5" t="s">
        <v>164</v>
      </c>
      <c r="U26" s="20" t="s">
        <v>689</v>
      </c>
      <c r="V26" s="5" t="s">
        <v>164</v>
      </c>
      <c r="W26" s="45" t="s">
        <v>689</v>
      </c>
      <c r="X26" s="2"/>
    </row>
    <row r="27" spans="1:24" ht="16.5" x14ac:dyDescent="0.25">
      <c r="A27" s="44" t="str">
        <f t="shared" si="0"/>
        <v>....A.06.a. - Acute hepatitis B</v>
      </c>
      <c r="B27" s="2">
        <v>23</v>
      </c>
      <c r="C27" s="33" t="s">
        <v>690</v>
      </c>
      <c r="D27" s="27" t="s">
        <v>1136</v>
      </c>
      <c r="E27" s="26" t="s">
        <v>1147</v>
      </c>
      <c r="F27" s="6" t="s">
        <v>1126</v>
      </c>
      <c r="G27" s="40" t="str">
        <f>CONCATENATE("c",D27,E27,F27)</f>
        <v>cA06a</v>
      </c>
      <c r="H27" s="40" t="str">
        <f>CONCATENATE(D27,E27,F27)</f>
        <v>A06a</v>
      </c>
      <c r="I27" s="5"/>
      <c r="J27" s="5"/>
      <c r="K27" s="5" t="s">
        <v>962</v>
      </c>
      <c r="L27" s="16" t="s">
        <v>341</v>
      </c>
      <c r="O27" s="59" t="s">
        <v>962</v>
      </c>
      <c r="P27" s="60" t="s">
        <v>341</v>
      </c>
      <c r="Q27" s="60"/>
      <c r="R27" s="83"/>
      <c r="S27" s="83"/>
      <c r="T27" s="5" t="s">
        <v>165</v>
      </c>
      <c r="U27" s="20" t="s">
        <v>690</v>
      </c>
      <c r="V27" s="5" t="s">
        <v>165</v>
      </c>
      <c r="W27" s="45" t="s">
        <v>690</v>
      </c>
      <c r="X27" s="2"/>
    </row>
    <row r="28" spans="1:24" x14ac:dyDescent="0.25">
      <c r="A28" s="44" t="str">
        <f t="shared" si="0"/>
        <v/>
      </c>
      <c r="B28" s="2"/>
      <c r="C28" s="34" t="s">
        <v>1134</v>
      </c>
      <c r="D28" s="27"/>
      <c r="E28" s="26"/>
      <c r="F28" s="6"/>
      <c r="G28" s="40"/>
      <c r="H28" s="40"/>
      <c r="I28" s="5"/>
      <c r="J28" s="5"/>
      <c r="K28" s="5"/>
      <c r="O28" s="59"/>
      <c r="P28" s="60"/>
      <c r="Q28" s="60"/>
      <c r="R28" s="83"/>
      <c r="S28" s="83"/>
      <c r="T28" s="5"/>
      <c r="U28" s="20"/>
      <c r="V28" s="5"/>
      <c r="W28" s="45"/>
      <c r="X28" s="2"/>
    </row>
    <row r="29" spans="1:24" x14ac:dyDescent="0.25">
      <c r="A29" s="44" t="str">
        <f t="shared" si="0"/>
        <v>....A.06.b. - Acute hepatitis C</v>
      </c>
      <c r="B29" s="2">
        <v>24</v>
      </c>
      <c r="C29" s="33" t="s">
        <v>691</v>
      </c>
      <c r="D29" s="27" t="s">
        <v>1136</v>
      </c>
      <c r="E29" s="26" t="s">
        <v>1147</v>
      </c>
      <c r="F29" s="6" t="s">
        <v>1127</v>
      </c>
      <c r="G29" s="40" t="str">
        <f>CONCATENATE("c",D29,E29,F29)</f>
        <v>cA06b</v>
      </c>
      <c r="H29" s="40" t="str">
        <f>CONCATENATE(D29,E29,F29)</f>
        <v>A06b</v>
      </c>
      <c r="I29" s="5"/>
      <c r="J29" s="5"/>
      <c r="K29" s="5" t="s">
        <v>963</v>
      </c>
      <c r="L29" s="16" t="s">
        <v>342</v>
      </c>
      <c r="O29" s="59" t="s">
        <v>963</v>
      </c>
      <c r="P29" s="60" t="s">
        <v>342</v>
      </c>
      <c r="Q29" s="60"/>
      <c r="R29" s="83"/>
      <c r="S29" s="83"/>
      <c r="T29" s="5" t="s">
        <v>166</v>
      </c>
      <c r="U29" s="20" t="s">
        <v>691</v>
      </c>
      <c r="V29" s="5" t="s">
        <v>166</v>
      </c>
      <c r="W29" s="45" t="s">
        <v>691</v>
      </c>
      <c r="X29" s="2"/>
    </row>
    <row r="30" spans="1:24" x14ac:dyDescent="0.25">
      <c r="A30" s="44" t="str">
        <f t="shared" si="0"/>
        <v/>
      </c>
      <c r="B30" s="2">
        <v>25</v>
      </c>
      <c r="C30" s="33" t="s">
        <v>692</v>
      </c>
      <c r="D30" s="6" t="s">
        <v>1136</v>
      </c>
      <c r="E30" s="26" t="s">
        <v>1147</v>
      </c>
      <c r="F30" s="6"/>
      <c r="G30" s="40" t="str">
        <f>CONCATENATE("c",D30,E30,F30)</f>
        <v>cA06</v>
      </c>
      <c r="H30" s="40"/>
      <c r="I30" s="5"/>
      <c r="J30" s="5"/>
      <c r="K30" s="5" t="s">
        <v>964</v>
      </c>
      <c r="L30" s="16" t="s">
        <v>343</v>
      </c>
      <c r="O30" s="59" t="s">
        <v>964</v>
      </c>
      <c r="P30" s="60" t="s">
        <v>343</v>
      </c>
      <c r="Q30" s="60"/>
      <c r="R30" s="83"/>
      <c r="S30" s="83"/>
      <c r="T30" s="5" t="s">
        <v>167</v>
      </c>
      <c r="U30" s="20" t="s">
        <v>888</v>
      </c>
      <c r="V30" s="5" t="s">
        <v>167</v>
      </c>
      <c r="W30" s="45" t="s">
        <v>888</v>
      </c>
      <c r="X30" s="2"/>
    </row>
    <row r="31" spans="1:24" ht="24.75" x14ac:dyDescent="0.25">
      <c r="A31" s="44" t="str">
        <f t="shared" si="0"/>
        <v/>
      </c>
      <c r="B31" s="2">
        <v>26</v>
      </c>
      <c r="C31" s="31" t="s">
        <v>693</v>
      </c>
      <c r="D31" s="6" t="s">
        <v>952</v>
      </c>
      <c r="E31" s="26"/>
      <c r="F31" s="6"/>
      <c r="G31" s="40"/>
      <c r="H31" s="40"/>
      <c r="I31" s="5"/>
      <c r="J31" s="5"/>
      <c r="K31" s="5" t="s">
        <v>952</v>
      </c>
      <c r="L31" s="5" t="s">
        <v>952</v>
      </c>
      <c r="M31" s="5"/>
      <c r="N31" s="5"/>
      <c r="O31" s="59" t="s">
        <v>399</v>
      </c>
      <c r="P31" s="59" t="s">
        <v>344</v>
      </c>
      <c r="Q31" s="59"/>
      <c r="R31" s="83"/>
      <c r="S31" s="83"/>
      <c r="T31" s="2" t="s">
        <v>168</v>
      </c>
      <c r="U31" s="20" t="s">
        <v>693</v>
      </c>
      <c r="V31" s="2" t="s">
        <v>168</v>
      </c>
      <c r="W31" s="45" t="s">
        <v>693</v>
      </c>
      <c r="X31" s="2"/>
    </row>
    <row r="32" spans="1:24" x14ac:dyDescent="0.25">
      <c r="A32" s="44" t="str">
        <f t="shared" si="0"/>
        <v/>
      </c>
      <c r="B32" s="2">
        <v>27</v>
      </c>
      <c r="C32" s="33" t="s">
        <v>18</v>
      </c>
      <c r="D32" s="6" t="s">
        <v>1136</v>
      </c>
      <c r="E32" s="26">
        <v>99</v>
      </c>
      <c r="F32" s="6"/>
      <c r="G32" s="40" t="str">
        <f t="shared" ref="G32:G45" si="2">CONCATENATE("c",D32,E32,F32)</f>
        <v>cA99</v>
      </c>
      <c r="H32" s="40"/>
      <c r="I32" s="5"/>
      <c r="J32" s="5"/>
      <c r="K32" s="5" t="s">
        <v>400</v>
      </c>
      <c r="L32" s="16" t="s">
        <v>345</v>
      </c>
      <c r="O32" s="59" t="s">
        <v>400</v>
      </c>
      <c r="P32" s="60" t="s">
        <v>345</v>
      </c>
      <c r="Q32" s="60"/>
      <c r="R32" s="83" t="s">
        <v>527</v>
      </c>
      <c r="S32" s="83" t="s">
        <v>1042</v>
      </c>
      <c r="T32" s="5" t="s">
        <v>169</v>
      </c>
      <c r="U32" s="20" t="s">
        <v>18</v>
      </c>
      <c r="V32" s="5" t="s">
        <v>169</v>
      </c>
      <c r="W32" s="45" t="s">
        <v>18</v>
      </c>
      <c r="X32" s="2"/>
    </row>
    <row r="33" spans="1:24" x14ac:dyDescent="0.25">
      <c r="A33" s="44" t="str">
        <f t="shared" si="0"/>
        <v/>
      </c>
      <c r="B33" s="2">
        <v>28</v>
      </c>
      <c r="C33" s="33" t="s">
        <v>19</v>
      </c>
      <c r="D33" s="6" t="s">
        <v>1136</v>
      </c>
      <c r="E33" s="26">
        <v>99</v>
      </c>
      <c r="F33" s="6"/>
      <c r="G33" s="40" t="str">
        <f t="shared" si="2"/>
        <v>cA99</v>
      </c>
      <c r="H33" s="40"/>
      <c r="I33" s="5"/>
      <c r="J33" s="5"/>
      <c r="K33" s="5" t="s">
        <v>346</v>
      </c>
      <c r="L33" s="16" t="s">
        <v>346</v>
      </c>
      <c r="O33" s="59" t="s">
        <v>346</v>
      </c>
      <c r="P33" s="60" t="s">
        <v>346</v>
      </c>
      <c r="Q33" s="60"/>
      <c r="R33" s="83" t="s">
        <v>528</v>
      </c>
      <c r="S33" s="83" t="s">
        <v>1041</v>
      </c>
      <c r="T33" s="5" t="s">
        <v>170</v>
      </c>
      <c r="U33" s="20" t="s">
        <v>19</v>
      </c>
      <c r="V33" s="5" t="s">
        <v>170</v>
      </c>
      <c r="W33" s="45" t="s">
        <v>19</v>
      </c>
      <c r="X33" s="2"/>
    </row>
    <row r="34" spans="1:24" x14ac:dyDescent="0.25">
      <c r="A34" s="44" t="str">
        <f t="shared" si="0"/>
        <v/>
      </c>
      <c r="B34" s="2">
        <v>29</v>
      </c>
      <c r="C34" s="33" t="s">
        <v>20</v>
      </c>
      <c r="D34" s="6" t="s">
        <v>1136</v>
      </c>
      <c r="E34" s="26">
        <v>99</v>
      </c>
      <c r="F34" s="6"/>
      <c r="G34" s="40" t="str">
        <f t="shared" si="2"/>
        <v>cA99</v>
      </c>
      <c r="H34" s="40"/>
      <c r="I34" s="5"/>
      <c r="J34" s="5"/>
      <c r="K34" s="5" t="s">
        <v>347</v>
      </c>
      <c r="L34" s="16" t="s">
        <v>347</v>
      </c>
      <c r="O34" s="59" t="s">
        <v>347</v>
      </c>
      <c r="P34" s="60" t="s">
        <v>347</v>
      </c>
      <c r="Q34" s="60"/>
      <c r="R34" s="83" t="s">
        <v>529</v>
      </c>
      <c r="S34" s="83" t="s">
        <v>1040</v>
      </c>
      <c r="T34" s="5" t="s">
        <v>171</v>
      </c>
      <c r="U34" s="20" t="s">
        <v>20</v>
      </c>
      <c r="V34" s="5" t="s">
        <v>171</v>
      </c>
      <c r="W34" s="45" t="s">
        <v>20</v>
      </c>
      <c r="X34" s="2"/>
    </row>
    <row r="35" spans="1:24" x14ac:dyDescent="0.25">
      <c r="A35" s="44" t="str">
        <f t="shared" si="0"/>
        <v/>
      </c>
      <c r="B35" s="2">
        <v>30</v>
      </c>
      <c r="C35" s="33" t="s">
        <v>21</v>
      </c>
      <c r="D35" s="6" t="s">
        <v>1136</v>
      </c>
      <c r="E35" s="26">
        <v>99</v>
      </c>
      <c r="F35" s="6"/>
      <c r="G35" s="40" t="str">
        <f t="shared" si="2"/>
        <v>cA99</v>
      </c>
      <c r="H35" s="40"/>
      <c r="I35" s="5"/>
      <c r="J35" s="5"/>
      <c r="K35" s="5" t="s">
        <v>348</v>
      </c>
      <c r="L35" s="16" t="s">
        <v>348</v>
      </c>
      <c r="O35" s="59" t="s">
        <v>348</v>
      </c>
      <c r="P35" s="60" t="s">
        <v>348</v>
      </c>
      <c r="Q35" s="60"/>
      <c r="R35" s="83" t="s">
        <v>530</v>
      </c>
      <c r="S35" s="83" t="s">
        <v>1050</v>
      </c>
      <c r="T35" s="5" t="s">
        <v>172</v>
      </c>
      <c r="U35" s="20" t="s">
        <v>21</v>
      </c>
      <c r="V35" s="5" t="s">
        <v>172</v>
      </c>
      <c r="W35" s="45" t="s">
        <v>21</v>
      </c>
      <c r="X35" s="2"/>
    </row>
    <row r="36" spans="1:24" x14ac:dyDescent="0.25">
      <c r="A36" s="44" t="str">
        <f t="shared" si="0"/>
        <v/>
      </c>
      <c r="B36" s="2">
        <v>31</v>
      </c>
      <c r="C36" s="33" t="s">
        <v>22</v>
      </c>
      <c r="D36" s="6" t="s">
        <v>1136</v>
      </c>
      <c r="E36" s="26">
        <v>99</v>
      </c>
      <c r="F36" s="6"/>
      <c r="G36" s="40" t="str">
        <f t="shared" si="2"/>
        <v>cA99</v>
      </c>
      <c r="H36" s="40"/>
      <c r="I36" s="5"/>
      <c r="J36" s="5"/>
      <c r="K36" s="5" t="s">
        <v>349</v>
      </c>
      <c r="L36" s="16" t="s">
        <v>349</v>
      </c>
      <c r="O36" s="59" t="s">
        <v>349</v>
      </c>
      <c r="P36" s="60" t="s">
        <v>349</v>
      </c>
      <c r="Q36" s="60"/>
      <c r="R36" s="85" t="s">
        <v>1039</v>
      </c>
      <c r="S36" s="85" t="s">
        <v>1039</v>
      </c>
      <c r="T36" s="5" t="s">
        <v>173</v>
      </c>
      <c r="U36" s="20" t="s">
        <v>22</v>
      </c>
      <c r="V36" s="5" t="s">
        <v>173</v>
      </c>
      <c r="W36" s="45" t="s">
        <v>22</v>
      </c>
      <c r="X36" s="2"/>
    </row>
    <row r="37" spans="1:24" x14ac:dyDescent="0.25">
      <c r="A37" s="44" t="str">
        <f t="shared" si="0"/>
        <v/>
      </c>
      <c r="B37" s="2">
        <v>32</v>
      </c>
      <c r="C37" s="33" t="s">
        <v>23</v>
      </c>
      <c r="D37" s="6" t="s">
        <v>1136</v>
      </c>
      <c r="E37" s="26">
        <v>99</v>
      </c>
      <c r="F37" s="6"/>
      <c r="G37" s="40" t="str">
        <f t="shared" si="2"/>
        <v>cA99</v>
      </c>
      <c r="H37" s="40"/>
      <c r="I37" s="5"/>
      <c r="J37" s="5"/>
      <c r="K37" s="5" t="s">
        <v>401</v>
      </c>
      <c r="L37" s="16" t="s">
        <v>350</v>
      </c>
      <c r="O37" s="59" t="s">
        <v>401</v>
      </c>
      <c r="P37" s="60" t="s">
        <v>350</v>
      </c>
      <c r="Q37" s="60"/>
      <c r="R37" s="83"/>
      <c r="S37" s="83"/>
      <c r="T37" s="5" t="s">
        <v>174</v>
      </c>
      <c r="U37" s="20" t="s">
        <v>23</v>
      </c>
      <c r="V37" s="5" t="s">
        <v>174</v>
      </c>
      <c r="W37" s="45" t="s">
        <v>23</v>
      </c>
      <c r="X37" s="2"/>
    </row>
    <row r="38" spans="1:24" x14ac:dyDescent="0.25">
      <c r="A38" s="44" t="str">
        <f t="shared" si="0"/>
        <v/>
      </c>
      <c r="B38" s="2">
        <v>33</v>
      </c>
      <c r="C38" s="33" t="s">
        <v>24</v>
      </c>
      <c r="D38" s="6" t="s">
        <v>1136</v>
      </c>
      <c r="E38" s="26">
        <v>99</v>
      </c>
      <c r="F38" s="6"/>
      <c r="G38" s="40" t="str">
        <f t="shared" si="2"/>
        <v>cA99</v>
      </c>
      <c r="H38" s="40"/>
      <c r="I38" s="5"/>
      <c r="J38" s="5"/>
      <c r="K38" s="5" t="s">
        <v>351</v>
      </c>
      <c r="L38" s="16" t="s">
        <v>351</v>
      </c>
      <c r="O38" s="59" t="s">
        <v>351</v>
      </c>
      <c r="P38" s="60" t="s">
        <v>351</v>
      </c>
      <c r="Q38" s="60"/>
      <c r="R38" s="83"/>
      <c r="S38" s="83"/>
      <c r="T38" s="5" t="s">
        <v>175</v>
      </c>
      <c r="U38" s="20" t="s">
        <v>24</v>
      </c>
      <c r="V38" s="5" t="s">
        <v>175</v>
      </c>
      <c r="W38" s="45" t="s">
        <v>24</v>
      </c>
      <c r="X38" s="2"/>
    </row>
    <row r="39" spans="1:24" x14ac:dyDescent="0.25">
      <c r="A39" s="44" t="str">
        <f t="shared" si="0"/>
        <v/>
      </c>
      <c r="B39" s="2">
        <v>34</v>
      </c>
      <c r="C39" s="33" t="s">
        <v>694</v>
      </c>
      <c r="D39" s="6" t="s">
        <v>1136</v>
      </c>
      <c r="E39" s="26">
        <v>99</v>
      </c>
      <c r="F39" s="6"/>
      <c r="G39" s="40" t="str">
        <f t="shared" si="2"/>
        <v>cA99</v>
      </c>
      <c r="H39" s="40"/>
      <c r="I39" s="5"/>
      <c r="J39" s="5"/>
      <c r="K39" s="5" t="s">
        <v>352</v>
      </c>
      <c r="L39" s="16" t="s">
        <v>352</v>
      </c>
      <c r="O39" s="59" t="s">
        <v>352</v>
      </c>
      <c r="P39" s="60" t="s">
        <v>352</v>
      </c>
      <c r="Q39" s="60"/>
      <c r="R39" s="85">
        <v>123.1</v>
      </c>
      <c r="S39" s="85">
        <v>1231</v>
      </c>
      <c r="T39" s="5" t="s">
        <v>176</v>
      </c>
      <c r="U39" s="20" t="s">
        <v>694</v>
      </c>
      <c r="V39" s="5" t="s">
        <v>176</v>
      </c>
      <c r="W39" s="45" t="s">
        <v>694</v>
      </c>
      <c r="X39" s="2"/>
    </row>
    <row r="40" spans="1:24" x14ac:dyDescent="0.25">
      <c r="A40" s="44" t="str">
        <f t="shared" si="0"/>
        <v/>
      </c>
      <c r="B40" s="2">
        <v>35</v>
      </c>
      <c r="C40" s="33" t="s">
        <v>695</v>
      </c>
      <c r="D40" s="6" t="s">
        <v>1136</v>
      </c>
      <c r="E40" s="26">
        <v>99</v>
      </c>
      <c r="F40" s="6"/>
      <c r="G40" s="40" t="str">
        <f t="shared" si="2"/>
        <v>cA99</v>
      </c>
      <c r="H40" s="40"/>
      <c r="I40" s="5"/>
      <c r="J40" s="5"/>
      <c r="K40" s="5" t="s">
        <v>353</v>
      </c>
      <c r="L40" s="16" t="s">
        <v>353</v>
      </c>
      <c r="O40" s="59" t="s">
        <v>353</v>
      </c>
      <c r="P40" s="60" t="s">
        <v>353</v>
      </c>
      <c r="Q40" s="60"/>
      <c r="R40" s="83" t="s">
        <v>531</v>
      </c>
      <c r="S40" s="83" t="s">
        <v>1035</v>
      </c>
      <c r="T40" s="5" t="s">
        <v>177</v>
      </c>
      <c r="U40" s="20" t="s">
        <v>695</v>
      </c>
      <c r="V40" s="5" t="s">
        <v>177</v>
      </c>
      <c r="W40" s="45" t="s">
        <v>695</v>
      </c>
      <c r="X40" s="2"/>
    </row>
    <row r="41" spans="1:24" x14ac:dyDescent="0.25">
      <c r="A41" s="44" t="str">
        <f t="shared" si="0"/>
        <v/>
      </c>
      <c r="B41" s="2">
        <v>36</v>
      </c>
      <c r="C41" s="33" t="s">
        <v>889</v>
      </c>
      <c r="D41" s="6" t="s">
        <v>1136</v>
      </c>
      <c r="E41" s="26">
        <v>99</v>
      </c>
      <c r="F41" s="6"/>
      <c r="G41" s="40" t="str">
        <f t="shared" si="2"/>
        <v>cA99</v>
      </c>
      <c r="H41" s="40"/>
      <c r="I41" s="5"/>
      <c r="J41" s="5"/>
      <c r="K41" s="5" t="s">
        <v>757</v>
      </c>
      <c r="L41" s="16" t="s">
        <v>757</v>
      </c>
      <c r="O41" s="59" t="s">
        <v>757</v>
      </c>
      <c r="P41" s="60" t="s">
        <v>757</v>
      </c>
      <c r="Q41" s="60"/>
      <c r="R41" s="83"/>
      <c r="S41" s="83"/>
      <c r="T41" s="5" t="s">
        <v>758</v>
      </c>
      <c r="U41" s="20" t="s">
        <v>889</v>
      </c>
      <c r="V41" s="5" t="s">
        <v>758</v>
      </c>
      <c r="W41" s="45" t="s">
        <v>889</v>
      </c>
      <c r="X41" s="2"/>
    </row>
    <row r="42" spans="1:24" x14ac:dyDescent="0.25">
      <c r="A42" s="44" t="str">
        <f t="shared" si="0"/>
        <v/>
      </c>
      <c r="B42" s="2">
        <v>37</v>
      </c>
      <c r="C42" s="33" t="s">
        <v>890</v>
      </c>
      <c r="D42" s="6" t="s">
        <v>1136</v>
      </c>
      <c r="E42" s="26">
        <v>99</v>
      </c>
      <c r="F42" s="6"/>
      <c r="G42" s="40" t="str">
        <f t="shared" si="2"/>
        <v>cA99</v>
      </c>
      <c r="H42" s="40"/>
      <c r="I42" s="5"/>
      <c r="J42" s="5"/>
      <c r="K42" s="5" t="s">
        <v>402</v>
      </c>
      <c r="L42" s="16" t="s">
        <v>354</v>
      </c>
      <c r="O42" s="59" t="s">
        <v>402</v>
      </c>
      <c r="P42" s="60" t="s">
        <v>354</v>
      </c>
      <c r="Q42" s="60"/>
      <c r="R42" s="83" t="s">
        <v>532</v>
      </c>
      <c r="S42" s="83" t="s">
        <v>1038</v>
      </c>
      <c r="T42" s="5" t="s">
        <v>178</v>
      </c>
      <c r="U42" s="20" t="s">
        <v>890</v>
      </c>
      <c r="V42" s="5" t="s">
        <v>178</v>
      </c>
      <c r="W42" s="45" t="s">
        <v>890</v>
      </c>
      <c r="X42" s="2"/>
    </row>
    <row r="43" spans="1:24" x14ac:dyDescent="0.25">
      <c r="A43" s="44" t="str">
        <f t="shared" si="0"/>
        <v/>
      </c>
      <c r="B43" s="2">
        <v>38</v>
      </c>
      <c r="C43" s="33" t="s">
        <v>891</v>
      </c>
      <c r="D43" s="6" t="s">
        <v>1136</v>
      </c>
      <c r="E43" s="26">
        <v>99</v>
      </c>
      <c r="F43" s="6"/>
      <c r="G43" s="40" t="str">
        <f t="shared" si="2"/>
        <v>cA99</v>
      </c>
      <c r="H43" s="40"/>
      <c r="I43" s="5"/>
      <c r="J43" s="5"/>
      <c r="K43" s="5" t="s">
        <v>355</v>
      </c>
      <c r="L43" s="16" t="s">
        <v>355</v>
      </c>
      <c r="O43" s="59" t="s">
        <v>355</v>
      </c>
      <c r="P43" s="60" t="s">
        <v>355</v>
      </c>
      <c r="Q43" s="60"/>
      <c r="R43" s="83"/>
      <c r="S43" s="83"/>
      <c r="T43" s="5" t="s">
        <v>179</v>
      </c>
      <c r="U43" s="20" t="s">
        <v>891</v>
      </c>
      <c r="V43" s="5" t="s">
        <v>179</v>
      </c>
      <c r="W43" s="45" t="s">
        <v>891</v>
      </c>
      <c r="X43" s="2"/>
    </row>
    <row r="44" spans="1:24" x14ac:dyDescent="0.25">
      <c r="A44" s="44" t="str">
        <f t="shared" si="0"/>
        <v/>
      </c>
      <c r="B44" s="2">
        <v>39</v>
      </c>
      <c r="C44" s="33" t="s">
        <v>893</v>
      </c>
      <c r="D44" s="6" t="s">
        <v>1136</v>
      </c>
      <c r="E44" s="26">
        <v>99</v>
      </c>
      <c r="F44" s="6"/>
      <c r="G44" s="40" t="str">
        <f t="shared" si="2"/>
        <v>cA99</v>
      </c>
      <c r="H44" s="40"/>
      <c r="I44" s="5"/>
      <c r="J44" s="5"/>
      <c r="K44" s="5" t="s">
        <v>356</v>
      </c>
      <c r="L44" s="16" t="s">
        <v>356</v>
      </c>
      <c r="O44" s="59" t="s">
        <v>356</v>
      </c>
      <c r="P44" s="60" t="s">
        <v>356</v>
      </c>
      <c r="Q44" s="60"/>
      <c r="R44" s="83" t="s">
        <v>533</v>
      </c>
      <c r="S44" s="83" t="s">
        <v>1037</v>
      </c>
      <c r="T44" s="5" t="s">
        <v>180</v>
      </c>
      <c r="U44" s="20" t="s">
        <v>892</v>
      </c>
      <c r="V44" s="5" t="s">
        <v>180</v>
      </c>
      <c r="W44" s="45" t="s">
        <v>892</v>
      </c>
      <c r="X44" s="2"/>
    </row>
    <row r="45" spans="1:24" x14ac:dyDescent="0.25">
      <c r="A45" s="44" t="str">
        <f t="shared" si="0"/>
        <v/>
      </c>
      <c r="B45" s="2">
        <v>40</v>
      </c>
      <c r="C45" s="33" t="s">
        <v>894</v>
      </c>
      <c r="D45" s="6" t="s">
        <v>1136</v>
      </c>
      <c r="E45" s="26">
        <v>99</v>
      </c>
      <c r="F45" s="6"/>
      <c r="G45" s="40" t="str">
        <f t="shared" si="2"/>
        <v>cA99</v>
      </c>
      <c r="H45" s="40"/>
      <c r="I45" s="5"/>
      <c r="J45" s="5"/>
      <c r="K45" s="5" t="s">
        <v>357</v>
      </c>
      <c r="L45" s="16" t="s">
        <v>357</v>
      </c>
      <c r="O45" s="59" t="s">
        <v>357</v>
      </c>
      <c r="P45" s="60" t="s">
        <v>357</v>
      </c>
      <c r="Q45" s="60"/>
      <c r="R45" s="83" t="s">
        <v>534</v>
      </c>
      <c r="S45" s="83" t="s">
        <v>1036</v>
      </c>
      <c r="T45" s="5" t="s">
        <v>181</v>
      </c>
      <c r="U45" s="20" t="s">
        <v>894</v>
      </c>
      <c r="V45" s="5" t="s">
        <v>181</v>
      </c>
      <c r="W45" s="45" t="s">
        <v>894</v>
      </c>
      <c r="X45" s="2"/>
    </row>
    <row r="46" spans="1:24" x14ac:dyDescent="0.25">
      <c r="A46" s="44" t="str">
        <f t="shared" si="0"/>
        <v/>
      </c>
      <c r="B46" s="2">
        <v>41</v>
      </c>
      <c r="C46" s="31" t="s">
        <v>879</v>
      </c>
      <c r="D46" s="6" t="s">
        <v>952</v>
      </c>
      <c r="E46" s="26"/>
      <c r="F46" s="6"/>
      <c r="G46" s="40"/>
      <c r="H46" s="40"/>
      <c r="I46" s="5"/>
      <c r="J46" s="5"/>
      <c r="K46" s="5" t="s">
        <v>952</v>
      </c>
      <c r="L46" s="5" t="s">
        <v>952</v>
      </c>
      <c r="M46" s="5"/>
      <c r="N46" s="5"/>
      <c r="O46" s="59" t="s">
        <v>948</v>
      </c>
      <c r="P46" s="59" t="s">
        <v>1120</v>
      </c>
      <c r="Q46" s="59"/>
      <c r="R46" s="85">
        <v>127</v>
      </c>
      <c r="S46" s="85">
        <v>127</v>
      </c>
      <c r="T46" s="2" t="s">
        <v>182</v>
      </c>
      <c r="U46" s="20" t="s">
        <v>879</v>
      </c>
      <c r="V46" s="2" t="s">
        <v>182</v>
      </c>
      <c r="W46" s="45" t="s">
        <v>879</v>
      </c>
      <c r="X46" s="2"/>
    </row>
    <row r="47" spans="1:24" x14ac:dyDescent="0.25">
      <c r="A47" s="44" t="str">
        <f t="shared" si="0"/>
        <v/>
      </c>
      <c r="B47" s="2">
        <v>42</v>
      </c>
      <c r="C47" s="33" t="s">
        <v>25</v>
      </c>
      <c r="D47" s="6" t="s">
        <v>1136</v>
      </c>
      <c r="E47" s="26">
        <v>99</v>
      </c>
      <c r="F47" s="6"/>
      <c r="G47" s="40" t="str">
        <f>CONCATENATE("c",D47,E47,F47)</f>
        <v>cA99</v>
      </c>
      <c r="H47" s="40"/>
      <c r="I47" s="5"/>
      <c r="J47" s="5"/>
      <c r="K47" s="5" t="s">
        <v>358</v>
      </c>
      <c r="L47" s="16" t="s">
        <v>358</v>
      </c>
      <c r="O47" s="59" t="s">
        <v>358</v>
      </c>
      <c r="P47" s="60" t="s">
        <v>358</v>
      </c>
      <c r="Q47" s="60"/>
      <c r="R47" s="85">
        <v>127</v>
      </c>
      <c r="S47" s="85">
        <v>127</v>
      </c>
      <c r="T47" s="5" t="s">
        <v>183</v>
      </c>
      <c r="U47" s="20" t="s">
        <v>25</v>
      </c>
      <c r="V47" s="5" t="s">
        <v>183</v>
      </c>
      <c r="W47" s="45" t="s">
        <v>25</v>
      </c>
      <c r="X47" s="2"/>
    </row>
    <row r="48" spans="1:24" x14ac:dyDescent="0.25">
      <c r="A48" s="44" t="str">
        <f t="shared" si="0"/>
        <v/>
      </c>
      <c r="B48" s="2">
        <v>43</v>
      </c>
      <c r="C48" s="33" t="s">
        <v>26</v>
      </c>
      <c r="D48" s="6" t="s">
        <v>1136</v>
      </c>
      <c r="E48" s="26">
        <v>99</v>
      </c>
      <c r="F48" s="6"/>
      <c r="G48" s="40" t="str">
        <f>CONCATENATE("c",D48,E48,F48)</f>
        <v>cA99</v>
      </c>
      <c r="H48" s="40"/>
      <c r="I48" s="5"/>
      <c r="J48" s="5"/>
      <c r="K48" s="5" t="s">
        <v>359</v>
      </c>
      <c r="L48" s="16" t="s">
        <v>359</v>
      </c>
      <c r="O48" s="59" t="s">
        <v>359</v>
      </c>
      <c r="P48" s="60" t="s">
        <v>359</v>
      </c>
      <c r="Q48" s="60"/>
      <c r="R48" s="83"/>
      <c r="S48" s="83"/>
      <c r="T48" s="5" t="s">
        <v>184</v>
      </c>
      <c r="U48" s="20" t="s">
        <v>26</v>
      </c>
      <c r="V48" s="5" t="s">
        <v>184</v>
      </c>
      <c r="W48" s="45" t="s">
        <v>26</v>
      </c>
      <c r="X48" s="2"/>
    </row>
    <row r="49" spans="1:24" x14ac:dyDescent="0.25">
      <c r="A49" s="44" t="str">
        <f t="shared" si="0"/>
        <v/>
      </c>
      <c r="B49" s="2">
        <v>44</v>
      </c>
      <c r="C49" s="33" t="s">
        <v>27</v>
      </c>
      <c r="D49" s="6" t="s">
        <v>1136</v>
      </c>
      <c r="E49" s="26">
        <v>99</v>
      </c>
      <c r="F49" s="6"/>
      <c r="G49" s="40" t="str">
        <f>CONCATENATE("c",D49,E49,F49)</f>
        <v>cA99</v>
      </c>
      <c r="H49" s="40"/>
      <c r="I49" s="5"/>
      <c r="J49" s="5"/>
      <c r="K49" s="5" t="s">
        <v>360</v>
      </c>
      <c r="L49" s="16" t="s">
        <v>360</v>
      </c>
      <c r="O49" s="59" t="s">
        <v>360</v>
      </c>
      <c r="P49" s="60" t="s">
        <v>360</v>
      </c>
      <c r="Q49" s="60"/>
      <c r="R49" s="83"/>
      <c r="S49" s="83"/>
      <c r="T49" s="5" t="s">
        <v>185</v>
      </c>
      <c r="U49" s="20" t="s">
        <v>27</v>
      </c>
      <c r="V49" s="5" t="s">
        <v>185</v>
      </c>
      <c r="W49" s="45" t="s">
        <v>27</v>
      </c>
      <c r="X49" s="2"/>
    </row>
    <row r="50" spans="1:24" x14ac:dyDescent="0.25">
      <c r="A50" s="44" t="str">
        <f t="shared" si="0"/>
        <v/>
      </c>
      <c r="B50" s="2">
        <v>45</v>
      </c>
      <c r="C50" s="33" t="s">
        <v>696</v>
      </c>
      <c r="D50" s="6" t="s">
        <v>1136</v>
      </c>
      <c r="E50" s="26">
        <v>99</v>
      </c>
      <c r="F50" s="6"/>
      <c r="G50" s="40" t="str">
        <f>CONCATENATE("c",D50,E50,F50)</f>
        <v>cA99</v>
      </c>
      <c r="H50" s="40"/>
      <c r="I50" s="5"/>
      <c r="J50" s="5"/>
      <c r="K50" s="5" t="s">
        <v>949</v>
      </c>
      <c r="L50" s="16" t="s">
        <v>361</v>
      </c>
      <c r="O50" s="59" t="s">
        <v>949</v>
      </c>
      <c r="P50" s="60" t="s">
        <v>361</v>
      </c>
      <c r="Q50" s="60"/>
      <c r="R50" s="83"/>
      <c r="S50" s="83"/>
      <c r="T50" s="5" t="s">
        <v>186</v>
      </c>
      <c r="U50" s="20" t="s">
        <v>895</v>
      </c>
      <c r="V50" s="5" t="s">
        <v>186</v>
      </c>
      <c r="W50" s="45" t="s">
        <v>895</v>
      </c>
      <c r="X50" s="2"/>
    </row>
    <row r="51" spans="1:24" ht="76.5" x14ac:dyDescent="0.25">
      <c r="A51" s="44" t="str">
        <f t="shared" si="0"/>
        <v/>
      </c>
      <c r="B51" s="2">
        <v>46</v>
      </c>
      <c r="C51" s="31" t="s">
        <v>880</v>
      </c>
      <c r="D51" s="6" t="s">
        <v>1136</v>
      </c>
      <c r="E51" s="26">
        <v>99</v>
      </c>
      <c r="F51" s="6"/>
      <c r="G51" s="40" t="str">
        <f>CONCATENATE("c",D51,E51,F51)</f>
        <v>cA99</v>
      </c>
      <c r="H51" s="40"/>
      <c r="I51" s="5" t="s">
        <v>1277</v>
      </c>
      <c r="J51" s="5" t="s">
        <v>1231</v>
      </c>
      <c r="K51" s="5" t="s">
        <v>1229</v>
      </c>
      <c r="L51" s="19" t="s">
        <v>1230</v>
      </c>
      <c r="M51" s="19"/>
      <c r="N51" s="19"/>
      <c r="O51" s="59" t="s">
        <v>965</v>
      </c>
      <c r="P51" s="60" t="s">
        <v>362</v>
      </c>
      <c r="Q51" s="60"/>
      <c r="R51" s="83" t="s">
        <v>535</v>
      </c>
      <c r="S51" s="83" t="s">
        <v>1110</v>
      </c>
      <c r="T51" s="5" t="s">
        <v>187</v>
      </c>
      <c r="U51" s="20" t="s">
        <v>880</v>
      </c>
      <c r="V51" s="5" t="s">
        <v>187</v>
      </c>
      <c r="W51" s="45" t="s">
        <v>880</v>
      </c>
      <c r="X51" s="5" t="s">
        <v>1308</v>
      </c>
    </row>
    <row r="52" spans="1:24" x14ac:dyDescent="0.25">
      <c r="A52" s="44" t="str">
        <f t="shared" si="0"/>
        <v>...A.07. - Respiratory infections</v>
      </c>
      <c r="B52" s="2">
        <v>47</v>
      </c>
      <c r="C52" s="35" t="s">
        <v>28</v>
      </c>
      <c r="D52" s="6" t="s">
        <v>1136</v>
      </c>
      <c r="E52" s="26" t="s">
        <v>1148</v>
      </c>
      <c r="F52" s="6"/>
      <c r="G52" s="40"/>
      <c r="H52" s="40" t="str">
        <f>CONCATENATE(D52,E52,F52)</f>
        <v>A07</v>
      </c>
      <c r="I52" s="5"/>
      <c r="J52" s="5"/>
      <c r="K52" s="5" t="s">
        <v>952</v>
      </c>
      <c r="L52" s="5" t="s">
        <v>952</v>
      </c>
      <c r="M52" s="5"/>
      <c r="N52" s="5"/>
      <c r="O52" s="59" t="s">
        <v>403</v>
      </c>
      <c r="P52" s="59" t="s">
        <v>363</v>
      </c>
      <c r="Q52" s="59"/>
      <c r="R52" s="83" t="s">
        <v>536</v>
      </c>
      <c r="S52" s="84" t="s">
        <v>673</v>
      </c>
      <c r="T52" s="2" t="s">
        <v>188</v>
      </c>
      <c r="U52" s="20" t="s">
        <v>28</v>
      </c>
      <c r="V52" s="2" t="s">
        <v>188</v>
      </c>
      <c r="W52" s="45" t="s">
        <v>28</v>
      </c>
      <c r="X52" s="2"/>
    </row>
    <row r="53" spans="1:24" x14ac:dyDescent="0.25">
      <c r="A53" s="44" t="str">
        <f t="shared" si="0"/>
        <v>....A.07.a. - Lower respiratory infections</v>
      </c>
      <c r="B53" s="2">
        <v>48</v>
      </c>
      <c r="C53" s="31" t="s">
        <v>29</v>
      </c>
      <c r="D53" s="6" t="s">
        <v>1136</v>
      </c>
      <c r="E53" s="26" t="s">
        <v>1148</v>
      </c>
      <c r="F53" s="6" t="s">
        <v>1126</v>
      </c>
      <c r="G53" s="40" t="str">
        <f>CONCATENATE("c",D53,E53,F53)</f>
        <v>cA07a</v>
      </c>
      <c r="H53" s="40" t="str">
        <f t="shared" ref="H53:H54" si="3">CONCATENATE(D53,E53,F53)</f>
        <v>A07a</v>
      </c>
      <c r="I53" s="5"/>
      <c r="J53" s="5"/>
      <c r="K53" s="5" t="s">
        <v>404</v>
      </c>
      <c r="L53" s="75" t="s">
        <v>1327</v>
      </c>
      <c r="M53" s="75" t="s">
        <v>1352</v>
      </c>
      <c r="N53" s="75" t="s">
        <v>1353</v>
      </c>
      <c r="O53" s="59" t="s">
        <v>404</v>
      </c>
      <c r="P53" s="60" t="s">
        <v>364</v>
      </c>
      <c r="Q53" s="60"/>
      <c r="R53" s="83" t="s">
        <v>537</v>
      </c>
      <c r="S53" s="83" t="s">
        <v>1109</v>
      </c>
      <c r="T53" s="5" t="s">
        <v>189</v>
      </c>
      <c r="U53" s="20" t="s">
        <v>29</v>
      </c>
      <c r="V53" s="5" t="s">
        <v>189</v>
      </c>
      <c r="W53" s="45" t="s">
        <v>29</v>
      </c>
      <c r="X53" s="2"/>
    </row>
    <row r="54" spans="1:24" x14ac:dyDescent="0.25">
      <c r="A54" s="44" t="str">
        <f t="shared" si="0"/>
        <v>....A.07.b. - Upper respiratory infections</v>
      </c>
      <c r="B54" s="2">
        <v>49</v>
      </c>
      <c r="C54" s="31" t="s">
        <v>30</v>
      </c>
      <c r="D54" s="6" t="s">
        <v>1136</v>
      </c>
      <c r="E54" s="26" t="s">
        <v>1148</v>
      </c>
      <c r="F54" s="6" t="s">
        <v>1127</v>
      </c>
      <c r="G54" s="40" t="str">
        <f>CONCATENATE("c",D54,E54,F54)</f>
        <v>cA07b</v>
      </c>
      <c r="H54" s="40" t="str">
        <f t="shared" si="3"/>
        <v>A07b</v>
      </c>
      <c r="I54" s="5"/>
      <c r="J54" s="5"/>
      <c r="K54" s="5" t="s">
        <v>405</v>
      </c>
      <c r="L54" s="16" t="s">
        <v>365</v>
      </c>
      <c r="M54" s="16" t="s">
        <v>405</v>
      </c>
      <c r="N54" s="16" t="s">
        <v>365</v>
      </c>
      <c r="O54" s="59" t="s">
        <v>405</v>
      </c>
      <c r="P54" s="60" t="s">
        <v>365</v>
      </c>
      <c r="Q54" s="60"/>
      <c r="R54" s="83" t="s">
        <v>538</v>
      </c>
      <c r="S54" s="83" t="s">
        <v>1108</v>
      </c>
      <c r="T54" s="5" t="s">
        <v>190</v>
      </c>
      <c r="U54" s="20" t="s">
        <v>30</v>
      </c>
      <c r="V54" s="5" t="s">
        <v>190</v>
      </c>
      <c r="W54" s="45" t="s">
        <v>30</v>
      </c>
      <c r="X54" s="2"/>
    </row>
    <row r="55" spans="1:24" x14ac:dyDescent="0.25">
      <c r="A55" s="44" t="str">
        <f t="shared" si="0"/>
        <v/>
      </c>
      <c r="B55" s="2">
        <v>50</v>
      </c>
      <c r="C55" s="31" t="s">
        <v>31</v>
      </c>
      <c r="D55" s="6" t="s">
        <v>1136</v>
      </c>
      <c r="E55" s="26" t="s">
        <v>1148</v>
      </c>
      <c r="F55" s="6"/>
      <c r="G55" s="40" t="str">
        <f>CONCATENATE("c",D55,E55,F55)</f>
        <v>cA07</v>
      </c>
      <c r="H55" s="40"/>
      <c r="I55" s="5"/>
      <c r="J55" s="5"/>
      <c r="K55" s="5" t="s">
        <v>406</v>
      </c>
      <c r="L55" s="16" t="s">
        <v>366</v>
      </c>
      <c r="M55" s="16" t="s">
        <v>406</v>
      </c>
      <c r="N55" s="16" t="s">
        <v>366</v>
      </c>
      <c r="O55" s="59" t="s">
        <v>406</v>
      </c>
      <c r="P55" s="60" t="s">
        <v>366</v>
      </c>
      <c r="Q55" s="60"/>
      <c r="R55" s="83" t="s">
        <v>539</v>
      </c>
      <c r="S55" s="83" t="s">
        <v>1062</v>
      </c>
      <c r="T55" s="5" t="s">
        <v>191</v>
      </c>
      <c r="U55" s="20" t="s">
        <v>31</v>
      </c>
      <c r="V55" s="5" t="s">
        <v>191</v>
      </c>
      <c r="W55" s="45" t="s">
        <v>31</v>
      </c>
      <c r="X55" s="2"/>
    </row>
    <row r="56" spans="1:24" x14ac:dyDescent="0.25">
      <c r="A56" s="44" t="str">
        <f t="shared" si="0"/>
        <v>...A.08. - Maternal conditions</v>
      </c>
      <c r="B56" s="2">
        <v>51</v>
      </c>
      <c r="C56" s="35" t="s">
        <v>32</v>
      </c>
      <c r="D56" s="6" t="s">
        <v>1136</v>
      </c>
      <c r="E56" s="26" t="s">
        <v>1149</v>
      </c>
      <c r="F56" s="6"/>
      <c r="G56" s="40" t="s">
        <v>952</v>
      </c>
      <c r="H56" s="40" t="str">
        <f>CONCATENATE(D56,E56,F56)</f>
        <v>A08</v>
      </c>
      <c r="I56" s="5"/>
      <c r="J56" s="5"/>
      <c r="K56" s="5" t="s">
        <v>952</v>
      </c>
      <c r="L56" s="5" t="s">
        <v>952</v>
      </c>
      <c r="M56" s="5"/>
      <c r="N56" s="5"/>
      <c r="O56" s="59" t="s">
        <v>407</v>
      </c>
      <c r="P56" s="59" t="s">
        <v>367</v>
      </c>
      <c r="Q56" s="59"/>
      <c r="R56" s="83" t="s">
        <v>540</v>
      </c>
      <c r="S56" s="83" t="s">
        <v>674</v>
      </c>
      <c r="T56" s="2" t="s">
        <v>192</v>
      </c>
      <c r="U56" s="20" t="s">
        <v>32</v>
      </c>
      <c r="V56" s="2" t="s">
        <v>192</v>
      </c>
      <c r="W56" s="45" t="s">
        <v>32</v>
      </c>
      <c r="X56" s="2"/>
    </row>
    <row r="57" spans="1:24" ht="38.25" x14ac:dyDescent="0.25">
      <c r="A57" s="44" t="str">
        <f t="shared" si="0"/>
        <v/>
      </c>
      <c r="B57" s="2">
        <v>52</v>
      </c>
      <c r="C57" s="31" t="s">
        <v>33</v>
      </c>
      <c r="D57" s="6" t="s">
        <v>1136</v>
      </c>
      <c r="E57" s="26" t="s">
        <v>1149</v>
      </c>
      <c r="F57" s="6"/>
      <c r="G57" s="40" t="str">
        <f t="shared" ref="G57:G62" si="4">CONCATENATE("c",D57,E57,F57)</f>
        <v>cA08</v>
      </c>
      <c r="H57" s="40"/>
      <c r="I57" s="5"/>
      <c r="J57" s="5"/>
      <c r="K57" s="5" t="s">
        <v>1354</v>
      </c>
      <c r="L57" s="16" t="s">
        <v>1363</v>
      </c>
      <c r="M57" s="16" t="s">
        <v>1355</v>
      </c>
      <c r="N57" s="16" t="s">
        <v>1363</v>
      </c>
      <c r="O57" s="59" t="s">
        <v>408</v>
      </c>
      <c r="P57" s="60" t="s">
        <v>368</v>
      </c>
      <c r="Q57" s="60"/>
      <c r="R57" s="83" t="s">
        <v>541</v>
      </c>
      <c r="S57" s="83" t="s">
        <v>1066</v>
      </c>
      <c r="T57" s="5" t="s">
        <v>1403</v>
      </c>
      <c r="U57" s="20" t="s">
        <v>33</v>
      </c>
      <c r="V57" s="5" t="s">
        <v>193</v>
      </c>
      <c r="W57" s="45" t="s">
        <v>33</v>
      </c>
      <c r="X57" s="5" t="s">
        <v>1356</v>
      </c>
    </row>
    <row r="58" spans="1:24" x14ac:dyDescent="0.25">
      <c r="A58" s="44" t="str">
        <f t="shared" si="0"/>
        <v/>
      </c>
      <c r="B58" s="2">
        <v>53</v>
      </c>
      <c r="C58" s="31" t="s">
        <v>34</v>
      </c>
      <c r="D58" s="6" t="s">
        <v>1136</v>
      </c>
      <c r="E58" s="26" t="s">
        <v>1149</v>
      </c>
      <c r="F58" s="6"/>
      <c r="G58" s="40" t="str">
        <f t="shared" si="4"/>
        <v>cA08</v>
      </c>
      <c r="H58" s="40"/>
      <c r="I58" s="5"/>
      <c r="J58" s="5"/>
      <c r="K58" s="5" t="s">
        <v>409</v>
      </c>
      <c r="L58" s="16" t="s">
        <v>369</v>
      </c>
      <c r="M58" s="16" t="s">
        <v>409</v>
      </c>
      <c r="N58" s="16" t="s">
        <v>369</v>
      </c>
      <c r="O58" s="59" t="s">
        <v>409</v>
      </c>
      <c r="P58" s="60" t="s">
        <v>369</v>
      </c>
      <c r="Q58" s="60"/>
      <c r="R58" s="83" t="s">
        <v>542</v>
      </c>
      <c r="S58" s="83" t="s">
        <v>1064</v>
      </c>
      <c r="T58" s="5" t="s">
        <v>194</v>
      </c>
      <c r="U58" s="20" t="s">
        <v>34</v>
      </c>
      <c r="V58" s="5" t="s">
        <v>194</v>
      </c>
      <c r="W58" s="45" t="s">
        <v>34</v>
      </c>
      <c r="X58" s="2"/>
    </row>
    <row r="59" spans="1:24" ht="38.25" x14ac:dyDescent="0.25">
      <c r="A59" s="44" t="str">
        <f t="shared" si="0"/>
        <v/>
      </c>
      <c r="B59" s="2">
        <v>54</v>
      </c>
      <c r="C59" s="31" t="s">
        <v>35</v>
      </c>
      <c r="D59" s="6" t="s">
        <v>1136</v>
      </c>
      <c r="E59" s="26" t="s">
        <v>1149</v>
      </c>
      <c r="F59" s="6"/>
      <c r="G59" s="40" t="str">
        <f t="shared" si="4"/>
        <v>cA08</v>
      </c>
      <c r="H59" s="40"/>
      <c r="I59" s="5"/>
      <c r="J59" s="5"/>
      <c r="K59" s="5" t="s">
        <v>410</v>
      </c>
      <c r="L59" s="16" t="s">
        <v>370</v>
      </c>
      <c r="M59" s="16" t="s">
        <v>1357</v>
      </c>
      <c r="N59" s="16" t="s">
        <v>370</v>
      </c>
      <c r="O59" s="59" t="s">
        <v>410</v>
      </c>
      <c r="P59" s="60" t="s">
        <v>370</v>
      </c>
      <c r="Q59" s="60"/>
      <c r="R59" s="83" t="s">
        <v>543</v>
      </c>
      <c r="S59" s="85">
        <v>642</v>
      </c>
      <c r="T59" s="5" t="s">
        <v>195</v>
      </c>
      <c r="U59" s="20" t="s">
        <v>35</v>
      </c>
      <c r="V59" s="5" t="s">
        <v>195</v>
      </c>
      <c r="W59" s="45" t="s">
        <v>35</v>
      </c>
      <c r="X59" s="5" t="s">
        <v>1358</v>
      </c>
    </row>
    <row r="60" spans="1:24" x14ac:dyDescent="0.25">
      <c r="A60" s="44" t="str">
        <f t="shared" si="0"/>
        <v/>
      </c>
      <c r="B60" s="2">
        <v>55</v>
      </c>
      <c r="C60" s="31" t="s">
        <v>36</v>
      </c>
      <c r="D60" s="6" t="s">
        <v>1136</v>
      </c>
      <c r="E60" s="26" t="s">
        <v>1149</v>
      </c>
      <c r="F60" s="6"/>
      <c r="G60" s="40" t="str">
        <f t="shared" si="4"/>
        <v>cA08</v>
      </c>
      <c r="H60" s="40"/>
      <c r="I60" s="5"/>
      <c r="J60" s="5"/>
      <c r="K60" s="5" t="s">
        <v>411</v>
      </c>
      <c r="L60" s="16" t="s">
        <v>371</v>
      </c>
      <c r="M60" s="16" t="s">
        <v>411</v>
      </c>
      <c r="N60" s="16" t="s">
        <v>371</v>
      </c>
      <c r="O60" s="59" t="s">
        <v>411</v>
      </c>
      <c r="P60" s="60" t="s">
        <v>371</v>
      </c>
      <c r="Q60" s="60"/>
      <c r="R60" s="83" t="s">
        <v>544</v>
      </c>
      <c r="S60" s="83" t="s">
        <v>1065</v>
      </c>
      <c r="T60" s="5" t="s">
        <v>1412</v>
      </c>
      <c r="U60" s="20" t="s">
        <v>36</v>
      </c>
      <c r="V60" s="5" t="s">
        <v>196</v>
      </c>
      <c r="W60" s="45" t="s">
        <v>36</v>
      </c>
      <c r="X60" s="2"/>
    </row>
    <row r="61" spans="1:24" ht="38.25" x14ac:dyDescent="0.25">
      <c r="A61" s="44" t="str">
        <f t="shared" si="0"/>
        <v/>
      </c>
      <c r="B61" s="2">
        <v>56</v>
      </c>
      <c r="C61" s="31" t="s">
        <v>37</v>
      </c>
      <c r="D61" s="6" t="s">
        <v>1136</v>
      </c>
      <c r="E61" s="26" t="s">
        <v>1149</v>
      </c>
      <c r="F61" s="6"/>
      <c r="G61" s="40" t="str">
        <f t="shared" si="4"/>
        <v>cA08</v>
      </c>
      <c r="H61" s="40"/>
      <c r="I61" s="5"/>
      <c r="J61" s="5"/>
      <c r="K61" s="5" t="s">
        <v>412</v>
      </c>
      <c r="L61" s="16" t="s">
        <v>372</v>
      </c>
      <c r="M61" s="16" t="s">
        <v>1359</v>
      </c>
      <c r="N61" s="16" t="s">
        <v>1360</v>
      </c>
      <c r="O61" s="59" t="s">
        <v>412</v>
      </c>
      <c r="P61" s="60" t="s">
        <v>372</v>
      </c>
      <c r="Q61" s="60"/>
      <c r="R61" s="83" t="s">
        <v>545</v>
      </c>
      <c r="S61" s="83" t="s">
        <v>1063</v>
      </c>
      <c r="T61" s="5" t="s">
        <v>197</v>
      </c>
      <c r="U61" s="20" t="s">
        <v>37</v>
      </c>
      <c r="V61" s="5" t="s">
        <v>197</v>
      </c>
      <c r="W61" s="45" t="s">
        <v>37</v>
      </c>
      <c r="X61" s="2"/>
    </row>
    <row r="62" spans="1:24" ht="25.5" x14ac:dyDescent="0.25">
      <c r="A62" s="44" t="str">
        <f t="shared" si="0"/>
        <v/>
      </c>
      <c r="B62" s="2">
        <v>57</v>
      </c>
      <c r="C62" s="31" t="s">
        <v>38</v>
      </c>
      <c r="D62" s="6" t="s">
        <v>1136</v>
      </c>
      <c r="E62" s="26" t="s">
        <v>1149</v>
      </c>
      <c r="F62" s="6"/>
      <c r="G62" s="40" t="str">
        <f t="shared" si="4"/>
        <v>cA08</v>
      </c>
      <c r="H62" s="40"/>
      <c r="I62" s="5"/>
      <c r="J62" s="5"/>
      <c r="K62" s="5" t="s">
        <v>413</v>
      </c>
      <c r="L62" s="16" t="s">
        <v>373</v>
      </c>
      <c r="M62" s="16" t="s">
        <v>1361</v>
      </c>
      <c r="N62" s="16" t="s">
        <v>1362</v>
      </c>
      <c r="O62" s="59" t="s">
        <v>413</v>
      </c>
      <c r="P62" s="60" t="s">
        <v>373</v>
      </c>
      <c r="Q62" s="60"/>
      <c r="R62" s="83" t="s">
        <v>546</v>
      </c>
      <c r="S62" s="83" t="s">
        <v>1107</v>
      </c>
      <c r="T62" s="5" t="s">
        <v>198</v>
      </c>
      <c r="U62" s="20" t="s">
        <v>38</v>
      </c>
      <c r="V62" s="5" t="s">
        <v>198</v>
      </c>
      <c r="W62" s="45" t="s">
        <v>38</v>
      </c>
      <c r="X62" s="2"/>
    </row>
    <row r="63" spans="1:24" x14ac:dyDescent="0.25">
      <c r="A63" s="44" t="str">
        <f t="shared" si="0"/>
        <v>...A.09. - Neonatal conditions</v>
      </c>
      <c r="B63" s="2">
        <v>58</v>
      </c>
      <c r="C63" s="35" t="s">
        <v>39</v>
      </c>
      <c r="D63" s="6" t="s">
        <v>1136</v>
      </c>
      <c r="E63" s="26" t="s">
        <v>1150</v>
      </c>
      <c r="F63" s="6"/>
      <c r="G63" s="40" t="s">
        <v>952</v>
      </c>
      <c r="H63" s="40" t="str">
        <f>CONCATENATE(D63,E63,F63)</f>
        <v>A09</v>
      </c>
      <c r="I63" s="5"/>
      <c r="J63" s="5"/>
      <c r="K63" s="5" t="s">
        <v>414</v>
      </c>
      <c r="L63" s="5" t="s">
        <v>1118</v>
      </c>
      <c r="M63" s="5"/>
      <c r="N63" s="5"/>
      <c r="O63" s="59" t="s">
        <v>414</v>
      </c>
      <c r="P63" s="59" t="s">
        <v>1118</v>
      </c>
      <c r="Q63" s="59"/>
      <c r="R63" s="83" t="s">
        <v>548</v>
      </c>
      <c r="S63" s="83" t="s">
        <v>547</v>
      </c>
      <c r="T63" s="2" t="s">
        <v>199</v>
      </c>
      <c r="U63" s="20" t="s">
        <v>39</v>
      </c>
      <c r="V63" s="2" t="s">
        <v>199</v>
      </c>
      <c r="W63" s="45" t="s">
        <v>39</v>
      </c>
      <c r="X63" s="2"/>
    </row>
    <row r="64" spans="1:24" x14ac:dyDescent="0.25">
      <c r="A64" s="44" t="str">
        <f t="shared" si="0"/>
        <v/>
      </c>
      <c r="B64" s="2">
        <v>59</v>
      </c>
      <c r="C64" s="31" t="s">
        <v>40</v>
      </c>
      <c r="D64" s="6" t="s">
        <v>1136</v>
      </c>
      <c r="E64" s="26" t="s">
        <v>1150</v>
      </c>
      <c r="F64" s="6"/>
      <c r="G64" s="40" t="str">
        <f>CONCATENATE("c",D64,E64,F64)</f>
        <v>cA09</v>
      </c>
      <c r="H64" s="40"/>
      <c r="I64" s="5"/>
      <c r="J64" s="5"/>
      <c r="K64" s="5" t="s">
        <v>415</v>
      </c>
      <c r="L64" s="16" t="s">
        <v>374</v>
      </c>
      <c r="O64" s="59" t="s">
        <v>415</v>
      </c>
      <c r="P64" s="60" t="s">
        <v>374</v>
      </c>
      <c r="Q64" s="60"/>
      <c r="R64" s="83" t="s">
        <v>549</v>
      </c>
      <c r="S64" s="83" t="s">
        <v>1094</v>
      </c>
      <c r="T64" s="5" t="s">
        <v>200</v>
      </c>
      <c r="U64" s="20" t="s">
        <v>40</v>
      </c>
      <c r="V64" s="5" t="s">
        <v>200</v>
      </c>
      <c r="W64" s="45" t="s">
        <v>40</v>
      </c>
      <c r="X64" s="2"/>
    </row>
    <row r="65" spans="1:24" ht="16.5" x14ac:dyDescent="0.25">
      <c r="A65" s="44" t="str">
        <f t="shared" si="0"/>
        <v/>
      </c>
      <c r="B65" s="2">
        <v>60</v>
      </c>
      <c r="C65" s="31" t="s">
        <v>41</v>
      </c>
      <c r="D65" s="6" t="s">
        <v>1136</v>
      </c>
      <c r="E65" s="26" t="s">
        <v>1150</v>
      </c>
      <c r="F65" s="6"/>
      <c r="G65" s="40" t="str">
        <f>CONCATENATE("c",D65,E65,F65)</f>
        <v>cA09</v>
      </c>
      <c r="H65" s="40"/>
      <c r="I65" s="5"/>
      <c r="J65" s="5"/>
      <c r="K65" s="5" t="s">
        <v>416</v>
      </c>
      <c r="L65" s="16" t="s">
        <v>375</v>
      </c>
      <c r="O65" s="59" t="s">
        <v>416</v>
      </c>
      <c r="P65" s="60" t="s">
        <v>375</v>
      </c>
      <c r="Q65" s="60"/>
      <c r="R65" s="83" t="s">
        <v>550</v>
      </c>
      <c r="S65" s="83" t="s">
        <v>1093</v>
      </c>
      <c r="T65" s="5" t="s">
        <v>201</v>
      </c>
      <c r="U65" s="20" t="s">
        <v>41</v>
      </c>
      <c r="V65" s="5" t="s">
        <v>201</v>
      </c>
      <c r="W65" s="45" t="s">
        <v>41</v>
      </c>
      <c r="X65" s="2"/>
    </row>
    <row r="66" spans="1:24" ht="16.5" x14ac:dyDescent="0.25">
      <c r="A66" s="44" t="str">
        <f t="shared" si="0"/>
        <v/>
      </c>
      <c r="B66" s="2">
        <v>61</v>
      </c>
      <c r="C66" s="31" t="s">
        <v>42</v>
      </c>
      <c r="D66" s="6" t="s">
        <v>1136</v>
      </c>
      <c r="E66" s="26" t="s">
        <v>1150</v>
      </c>
      <c r="F66" s="6"/>
      <c r="G66" s="40" t="str">
        <f>CONCATENATE("c",D66,E66,F66)</f>
        <v>cA09</v>
      </c>
      <c r="H66" s="40"/>
      <c r="I66" s="5"/>
      <c r="J66" s="5"/>
      <c r="K66" s="5" t="s">
        <v>417</v>
      </c>
      <c r="L66" s="16" t="s">
        <v>1119</v>
      </c>
      <c r="O66" s="59" t="s">
        <v>417</v>
      </c>
      <c r="P66" s="60" t="s">
        <v>1119</v>
      </c>
      <c r="Q66" s="60"/>
      <c r="R66" s="83" t="s">
        <v>551</v>
      </c>
      <c r="S66" s="83" t="s">
        <v>1034</v>
      </c>
      <c r="T66" s="5" t="s">
        <v>202</v>
      </c>
      <c r="U66" s="20" t="s">
        <v>42</v>
      </c>
      <c r="V66" s="5" t="s">
        <v>202</v>
      </c>
      <c r="W66" s="45" t="s">
        <v>42</v>
      </c>
      <c r="X66" s="2"/>
    </row>
    <row r="67" spans="1:24" x14ac:dyDescent="0.25">
      <c r="A67" s="44" t="str">
        <f t="shared" si="0"/>
        <v/>
      </c>
      <c r="B67" s="2">
        <v>62</v>
      </c>
      <c r="C67" s="31" t="s">
        <v>43</v>
      </c>
      <c r="D67" s="6" t="s">
        <v>1136</v>
      </c>
      <c r="E67" s="26" t="s">
        <v>1150</v>
      </c>
      <c r="F67" s="6"/>
      <c r="G67" s="40" t="str">
        <f>CONCATENATE("c",D67,E67,F67)</f>
        <v>cA09</v>
      </c>
      <c r="H67" s="40"/>
      <c r="I67" s="5" t="s">
        <v>1303</v>
      </c>
      <c r="J67" s="5" t="s">
        <v>1159</v>
      </c>
      <c r="K67" s="5" t="s">
        <v>1164</v>
      </c>
      <c r="L67" s="19" t="s">
        <v>1217</v>
      </c>
      <c r="M67" s="19"/>
      <c r="N67" s="19"/>
      <c r="O67" s="59" t="s">
        <v>418</v>
      </c>
      <c r="P67" s="60" t="s">
        <v>376</v>
      </c>
      <c r="Q67" s="60"/>
      <c r="R67" s="83" t="s">
        <v>552</v>
      </c>
      <c r="S67" s="83" t="s">
        <v>1092</v>
      </c>
      <c r="T67" s="5" t="s">
        <v>203</v>
      </c>
      <c r="U67" s="20" t="s">
        <v>43</v>
      </c>
      <c r="V67" s="5" t="s">
        <v>203</v>
      </c>
      <c r="W67" s="45" t="s">
        <v>43</v>
      </c>
      <c r="X67" s="2"/>
    </row>
    <row r="68" spans="1:24" ht="16.5" x14ac:dyDescent="0.25">
      <c r="A68" s="44" t="str">
        <f t="shared" ref="A68:A131" si="5">IF(H68&lt;&gt;"",IF(F68&lt;&gt;"",CONCATENATE("....",D68,".",E68,".",F68,". - ",T68),IF(E68&lt;&gt;"",CONCATENATE("...",D68,".",E68,". - ",T68),CONCATENATE("..",D68,". - ",T68))),"")</f>
        <v/>
      </c>
      <c r="B68" s="2">
        <v>63</v>
      </c>
      <c r="C68" s="35" t="s">
        <v>44</v>
      </c>
      <c r="D68" s="6" t="s">
        <v>1136</v>
      </c>
      <c r="E68" s="26"/>
      <c r="F68" s="6"/>
      <c r="G68" s="40"/>
      <c r="H68" s="40"/>
      <c r="I68" s="5"/>
      <c r="J68" s="5"/>
      <c r="K68" s="5" t="s">
        <v>952</v>
      </c>
      <c r="L68" s="5" t="s">
        <v>952</v>
      </c>
      <c r="M68" s="5"/>
      <c r="N68" s="5"/>
      <c r="O68" s="59" t="s">
        <v>419</v>
      </c>
      <c r="P68" s="59" t="s">
        <v>377</v>
      </c>
      <c r="Q68" s="59"/>
      <c r="R68" s="83" t="s">
        <v>553</v>
      </c>
      <c r="S68" s="83" t="s">
        <v>675</v>
      </c>
      <c r="T68" s="2" t="s">
        <v>204</v>
      </c>
      <c r="U68" s="20" t="s">
        <v>44</v>
      </c>
      <c r="V68" s="2" t="s">
        <v>204</v>
      </c>
      <c r="W68" s="45" t="s">
        <v>44</v>
      </c>
      <c r="X68" s="2"/>
    </row>
    <row r="69" spans="1:24" x14ac:dyDescent="0.25">
      <c r="A69" s="44" t="str">
        <f t="shared" si="5"/>
        <v/>
      </c>
      <c r="B69" s="2">
        <v>64</v>
      </c>
      <c r="C69" s="31" t="s">
        <v>45</v>
      </c>
      <c r="D69" s="6" t="s">
        <v>1136</v>
      </c>
      <c r="E69" s="26">
        <v>99</v>
      </c>
      <c r="F69" s="6"/>
      <c r="G69" s="40" t="str">
        <f>CONCATENATE("c",D69,E69,F69)</f>
        <v>cA99</v>
      </c>
      <c r="H69" s="40"/>
      <c r="I69" s="5"/>
      <c r="J69" s="5"/>
      <c r="K69" s="5" t="s">
        <v>420</v>
      </c>
      <c r="L69" s="16" t="s">
        <v>1216</v>
      </c>
      <c r="O69" s="59" t="s">
        <v>420</v>
      </c>
      <c r="P69" s="61" t="s">
        <v>378</v>
      </c>
      <c r="Q69" s="60"/>
      <c r="R69" s="83" t="s">
        <v>554</v>
      </c>
      <c r="S69" s="83" t="s">
        <v>1067</v>
      </c>
      <c r="T69" s="5" t="s">
        <v>205</v>
      </c>
      <c r="U69" s="20" t="s">
        <v>45</v>
      </c>
      <c r="V69" s="5" t="s">
        <v>205</v>
      </c>
      <c r="W69" s="45" t="s">
        <v>45</v>
      </c>
      <c r="X69" s="2"/>
    </row>
    <row r="70" spans="1:24" x14ac:dyDescent="0.25">
      <c r="A70" s="44" t="str">
        <f t="shared" si="5"/>
        <v/>
      </c>
      <c r="B70" s="2">
        <v>65</v>
      </c>
      <c r="C70" s="31" t="s">
        <v>46</v>
      </c>
      <c r="D70" s="6" t="s">
        <v>1136</v>
      </c>
      <c r="E70" s="26">
        <v>99</v>
      </c>
      <c r="F70" s="6"/>
      <c r="G70" s="40" t="str">
        <f>CONCATENATE("c",D70,E70,F70)</f>
        <v>cA99</v>
      </c>
      <c r="H70" s="40"/>
      <c r="I70" s="5"/>
      <c r="J70" s="5"/>
      <c r="K70" s="5" t="s">
        <v>421</v>
      </c>
      <c r="L70" s="16" t="s">
        <v>379</v>
      </c>
      <c r="O70" s="59" t="s">
        <v>421</v>
      </c>
      <c r="P70" s="60" t="s">
        <v>379</v>
      </c>
      <c r="Q70" s="60"/>
      <c r="R70" s="85">
        <v>244.2</v>
      </c>
      <c r="S70" s="85">
        <v>2442</v>
      </c>
      <c r="T70" s="5" t="s">
        <v>206</v>
      </c>
      <c r="U70" s="20" t="s">
        <v>46</v>
      </c>
      <c r="V70" s="5" t="s">
        <v>206</v>
      </c>
      <c r="W70" s="45" t="s">
        <v>46</v>
      </c>
      <c r="X70" s="2"/>
    </row>
    <row r="71" spans="1:24" x14ac:dyDescent="0.25">
      <c r="A71" s="44" t="str">
        <f t="shared" si="5"/>
        <v/>
      </c>
      <c r="B71" s="2">
        <v>66</v>
      </c>
      <c r="C71" s="31" t="s">
        <v>47</v>
      </c>
      <c r="D71" s="6" t="s">
        <v>1136</v>
      </c>
      <c r="E71" s="26">
        <v>99</v>
      </c>
      <c r="F71" s="6"/>
      <c r="G71" s="40" t="str">
        <f>CONCATENATE("c",D71,E71,F71)</f>
        <v>cA99</v>
      </c>
      <c r="H71" s="40"/>
      <c r="I71" s="5"/>
      <c r="J71" s="5"/>
      <c r="K71" s="5" t="s">
        <v>380</v>
      </c>
      <c r="L71" s="16" t="s">
        <v>380</v>
      </c>
      <c r="O71" s="59" t="s">
        <v>380</v>
      </c>
      <c r="P71" s="60" t="s">
        <v>380</v>
      </c>
      <c r="Q71" s="60"/>
      <c r="R71" s="83"/>
      <c r="S71" s="83"/>
      <c r="T71" s="5" t="s">
        <v>207</v>
      </c>
      <c r="U71" s="20" t="s">
        <v>47</v>
      </c>
      <c r="V71" s="5" t="s">
        <v>207</v>
      </c>
      <c r="W71" s="45" t="s">
        <v>47</v>
      </c>
      <c r="X71" s="2"/>
    </row>
    <row r="72" spans="1:24" x14ac:dyDescent="0.25">
      <c r="A72" s="44" t="str">
        <f t="shared" si="5"/>
        <v/>
      </c>
      <c r="B72" s="2">
        <v>67</v>
      </c>
      <c r="C72" s="31" t="s">
        <v>48</v>
      </c>
      <c r="D72" s="6" t="s">
        <v>1136</v>
      </c>
      <c r="E72" s="26">
        <v>99</v>
      </c>
      <c r="F72" s="6"/>
      <c r="G72" s="40" t="str">
        <f>CONCATENATE("c",D72,E72,F72)</f>
        <v>cA99</v>
      </c>
      <c r="H72" s="40"/>
      <c r="I72" s="5"/>
      <c r="J72" s="5"/>
      <c r="K72" s="5" t="s">
        <v>422</v>
      </c>
      <c r="L72" s="16" t="s">
        <v>381</v>
      </c>
      <c r="O72" s="59" t="s">
        <v>422</v>
      </c>
      <c r="P72" s="60" t="s">
        <v>381</v>
      </c>
      <c r="Q72" s="60"/>
      <c r="R72" s="83" t="s">
        <v>555</v>
      </c>
      <c r="S72" s="83" t="s">
        <v>1033</v>
      </c>
      <c r="T72" s="5" t="s">
        <v>1413</v>
      </c>
      <c r="U72" s="20" t="s">
        <v>48</v>
      </c>
      <c r="V72" s="5" t="s">
        <v>208</v>
      </c>
      <c r="W72" s="45" t="s">
        <v>48</v>
      </c>
      <c r="X72" s="2"/>
    </row>
    <row r="73" spans="1:24" x14ac:dyDescent="0.25">
      <c r="A73" s="44" t="str">
        <f t="shared" si="5"/>
        <v/>
      </c>
      <c r="B73" s="2">
        <v>68</v>
      </c>
      <c r="C73" s="31" t="s">
        <v>697</v>
      </c>
      <c r="D73" s="6" t="s">
        <v>1136</v>
      </c>
      <c r="E73" s="26">
        <v>99</v>
      </c>
      <c r="F73" s="6"/>
      <c r="G73" s="40" t="str">
        <f>CONCATENATE("c",D73,E73,F73)</f>
        <v>cA99</v>
      </c>
      <c r="H73" s="40"/>
      <c r="I73" s="5"/>
      <c r="J73" s="5"/>
      <c r="K73" s="5" t="s">
        <v>423</v>
      </c>
      <c r="L73" s="16" t="s">
        <v>382</v>
      </c>
      <c r="O73" s="59" t="s">
        <v>423</v>
      </c>
      <c r="P73" s="60" t="s">
        <v>382</v>
      </c>
      <c r="Q73" s="60"/>
      <c r="R73" s="83" t="s">
        <v>556</v>
      </c>
      <c r="S73" s="83" t="s">
        <v>1068</v>
      </c>
      <c r="T73" s="5" t="s">
        <v>209</v>
      </c>
      <c r="U73" s="20" t="s">
        <v>49</v>
      </c>
      <c r="V73" s="5" t="s">
        <v>209</v>
      </c>
      <c r="W73" s="45" t="s">
        <v>49</v>
      </c>
      <c r="X73" s="2"/>
    </row>
    <row r="74" spans="1:24" ht="84" x14ac:dyDescent="0.25">
      <c r="A74" s="44" t="str">
        <f t="shared" si="5"/>
        <v/>
      </c>
      <c r="B74" s="2">
        <v>69</v>
      </c>
      <c r="C74" s="47" t="s">
        <v>50</v>
      </c>
      <c r="D74" s="6"/>
      <c r="E74" s="26"/>
      <c r="F74" s="6"/>
      <c r="G74" s="40"/>
      <c r="H74" s="40"/>
      <c r="I74" s="5"/>
      <c r="J74" s="5"/>
      <c r="K74" s="5" t="s">
        <v>952</v>
      </c>
      <c r="L74" s="5" t="s">
        <v>952</v>
      </c>
      <c r="M74" s="5"/>
      <c r="N74" s="5"/>
      <c r="O74" s="59" t="s">
        <v>966</v>
      </c>
      <c r="P74" s="59" t="s">
        <v>383</v>
      </c>
      <c r="Q74" s="59"/>
      <c r="R74" s="86" t="s">
        <v>1387</v>
      </c>
      <c r="S74" s="83" t="s">
        <v>557</v>
      </c>
      <c r="T74" s="2" t="s">
        <v>210</v>
      </c>
      <c r="U74" s="20" t="s">
        <v>50</v>
      </c>
      <c r="V74" s="2" t="s">
        <v>210</v>
      </c>
      <c r="W74" s="45" t="s">
        <v>50</v>
      </c>
      <c r="X74" s="2"/>
    </row>
    <row r="75" spans="1:24" x14ac:dyDescent="0.25">
      <c r="A75" s="44" t="str">
        <f t="shared" si="5"/>
        <v>..D. - Other Chronic</v>
      </c>
      <c r="B75" s="2"/>
      <c r="C75" s="35" t="s">
        <v>1133</v>
      </c>
      <c r="D75" s="25" t="s">
        <v>1140</v>
      </c>
      <c r="E75" s="26"/>
      <c r="F75" s="6"/>
      <c r="G75" s="40"/>
      <c r="H75" s="40" t="str">
        <f>CONCATENATE(D75,E75,F75)</f>
        <v>D</v>
      </c>
      <c r="I75" s="5"/>
      <c r="J75" s="5"/>
      <c r="K75" s="5"/>
      <c r="L75" s="19"/>
      <c r="M75" s="19"/>
      <c r="N75" s="19"/>
      <c r="O75" s="59"/>
      <c r="P75" s="62"/>
      <c r="Q75" s="63"/>
      <c r="R75" s="83"/>
      <c r="S75" s="83"/>
      <c r="T75" s="20" t="s">
        <v>1155</v>
      </c>
      <c r="V75" s="45" t="s">
        <v>1155</v>
      </c>
      <c r="X75" s="2"/>
    </row>
    <row r="76" spans="1:24" ht="30" x14ac:dyDescent="0.25">
      <c r="A76" s="44" t="str">
        <f t="shared" si="5"/>
        <v>..B. - Cancer/Malignant neoplasms</v>
      </c>
      <c r="B76" s="2">
        <v>70</v>
      </c>
      <c r="C76" s="35" t="s">
        <v>51</v>
      </c>
      <c r="D76" s="25" t="s">
        <v>1137</v>
      </c>
      <c r="E76" s="26"/>
      <c r="F76" s="6"/>
      <c r="G76" s="40"/>
      <c r="H76" s="40" t="str">
        <f>CONCATENATE(D76,E76,F76)</f>
        <v>B</v>
      </c>
      <c r="I76" s="5"/>
      <c r="J76" s="5"/>
      <c r="K76" s="5" t="s">
        <v>952</v>
      </c>
      <c r="L76" s="19" t="s">
        <v>952</v>
      </c>
      <c r="M76" s="19"/>
      <c r="N76" s="19"/>
      <c r="O76" s="59" t="s">
        <v>424</v>
      </c>
      <c r="P76" s="62" t="s">
        <v>765</v>
      </c>
      <c r="Q76" s="63"/>
      <c r="R76" s="83" t="s">
        <v>559</v>
      </c>
      <c r="S76" s="83" t="s">
        <v>558</v>
      </c>
      <c r="T76" s="2" t="s">
        <v>1274</v>
      </c>
      <c r="U76" s="20" t="s">
        <v>51</v>
      </c>
      <c r="V76" s="2" t="s">
        <v>211</v>
      </c>
      <c r="W76" s="45" t="s">
        <v>51</v>
      </c>
      <c r="X76" s="2"/>
    </row>
    <row r="77" spans="1:24" x14ac:dyDescent="0.25">
      <c r="A77" s="44" t="str">
        <f t="shared" si="5"/>
        <v>...B.01. - Mouth and oropharynx cancers</v>
      </c>
      <c r="B77" s="2">
        <v>71</v>
      </c>
      <c r="C77" s="36" t="s">
        <v>52</v>
      </c>
      <c r="D77" s="6" t="s">
        <v>1137</v>
      </c>
      <c r="E77" s="26" t="s">
        <v>1142</v>
      </c>
      <c r="F77" s="6"/>
      <c r="G77" s="40" t="str">
        <f t="shared" ref="G77:G86" si="6">CONCATENATE("c",D77,E77,F77)</f>
        <v>cB01</v>
      </c>
      <c r="H77" s="40" t="str">
        <f>CONCATENATE(D77,E77,F77)</f>
        <v>B01</v>
      </c>
      <c r="I77" s="5"/>
      <c r="J77" s="5"/>
      <c r="K77" s="5" t="s">
        <v>1263</v>
      </c>
      <c r="L77" s="49" t="s">
        <v>1263</v>
      </c>
      <c r="M77" s="49"/>
      <c r="N77" s="49"/>
      <c r="O77" s="59" t="s">
        <v>425</v>
      </c>
      <c r="P77" s="64" t="s">
        <v>766</v>
      </c>
      <c r="Q77" s="65"/>
      <c r="R77" s="83"/>
      <c r="S77" s="83"/>
      <c r="T77" s="5" t="s">
        <v>212</v>
      </c>
      <c r="U77" s="50" t="s">
        <v>52</v>
      </c>
      <c r="V77" s="5" t="s">
        <v>212</v>
      </c>
      <c r="W77" s="51" t="s">
        <v>52</v>
      </c>
      <c r="X77" s="2"/>
    </row>
    <row r="78" spans="1:24" x14ac:dyDescent="0.25">
      <c r="A78" s="44" t="str">
        <f t="shared" si="5"/>
        <v/>
      </c>
      <c r="B78" s="2">
        <v>72</v>
      </c>
      <c r="C78" s="33" t="s">
        <v>698</v>
      </c>
      <c r="D78" s="6" t="s">
        <v>1137</v>
      </c>
      <c r="E78" s="26" t="s">
        <v>1142</v>
      </c>
      <c r="F78" s="6"/>
      <c r="G78" s="40" t="str">
        <f t="shared" si="6"/>
        <v>cB01</v>
      </c>
      <c r="H78" s="40"/>
      <c r="I78" s="18" t="s">
        <v>1278</v>
      </c>
      <c r="J78" s="17" t="s">
        <v>1159</v>
      </c>
      <c r="K78" s="5" t="s">
        <v>1264</v>
      </c>
      <c r="L78" s="19" t="s">
        <v>1265</v>
      </c>
      <c r="M78" s="19"/>
      <c r="N78" s="19"/>
      <c r="O78" s="59" t="s">
        <v>967</v>
      </c>
      <c r="P78" s="64" t="s">
        <v>767</v>
      </c>
      <c r="Q78" s="65"/>
      <c r="R78" s="83" t="s">
        <v>560</v>
      </c>
      <c r="S78" s="83" t="s">
        <v>1086</v>
      </c>
      <c r="T78" s="5" t="s">
        <v>213</v>
      </c>
      <c r="U78" s="50" t="s">
        <v>698</v>
      </c>
      <c r="V78" s="5" t="s">
        <v>213</v>
      </c>
      <c r="W78" s="51" t="s">
        <v>698</v>
      </c>
      <c r="X78" s="2"/>
    </row>
    <row r="79" spans="1:24" x14ac:dyDescent="0.25">
      <c r="A79" s="44" t="str">
        <f t="shared" si="5"/>
        <v/>
      </c>
      <c r="B79" s="2">
        <v>73</v>
      </c>
      <c r="C79" s="33" t="s">
        <v>699</v>
      </c>
      <c r="D79" s="6" t="s">
        <v>1137</v>
      </c>
      <c r="E79" s="26" t="s">
        <v>1142</v>
      </c>
      <c r="F79" s="6"/>
      <c r="G79" s="40" t="str">
        <f t="shared" si="6"/>
        <v>cB01</v>
      </c>
      <c r="H79" s="40"/>
      <c r="I79" s="19" t="s">
        <v>1279</v>
      </c>
      <c r="J79" s="17" t="s">
        <v>1159</v>
      </c>
      <c r="K79" s="5" t="s">
        <v>1165</v>
      </c>
      <c r="L79" s="49" t="s">
        <v>1166</v>
      </c>
      <c r="M79" s="49"/>
      <c r="N79" s="49"/>
      <c r="O79" s="59" t="s">
        <v>768</v>
      </c>
      <c r="P79" s="64" t="s">
        <v>768</v>
      </c>
      <c r="Q79" s="65"/>
      <c r="R79" s="83" t="s">
        <v>561</v>
      </c>
      <c r="S79" s="83" t="s">
        <v>1087</v>
      </c>
      <c r="T79" s="5" t="s">
        <v>1414</v>
      </c>
      <c r="U79" s="50" t="s">
        <v>896</v>
      </c>
      <c r="V79" s="5" t="s">
        <v>214</v>
      </c>
      <c r="W79" s="51" t="s">
        <v>896</v>
      </c>
      <c r="X79" s="2"/>
    </row>
    <row r="80" spans="1:24" x14ac:dyDescent="0.25">
      <c r="A80" s="44" t="str">
        <f t="shared" si="5"/>
        <v/>
      </c>
      <c r="B80" s="2">
        <v>74</v>
      </c>
      <c r="C80" s="33" t="s">
        <v>700</v>
      </c>
      <c r="D80" s="6" t="s">
        <v>1137</v>
      </c>
      <c r="E80" s="26" t="s">
        <v>1142</v>
      </c>
      <c r="F80" s="6"/>
      <c r="G80" s="40" t="str">
        <f t="shared" si="6"/>
        <v>cB01</v>
      </c>
      <c r="H80" s="40"/>
      <c r="I80" s="5"/>
      <c r="J80" s="5"/>
      <c r="K80" s="5" t="s">
        <v>968</v>
      </c>
      <c r="L80" s="49" t="s">
        <v>769</v>
      </c>
      <c r="M80" s="49"/>
      <c r="N80" s="49"/>
      <c r="O80" s="59" t="s">
        <v>968</v>
      </c>
      <c r="P80" s="64" t="s">
        <v>769</v>
      </c>
      <c r="Q80" s="65"/>
      <c r="R80" s="83" t="s">
        <v>562</v>
      </c>
      <c r="S80" s="83" t="s">
        <v>1088</v>
      </c>
      <c r="T80" s="5" t="s">
        <v>215</v>
      </c>
      <c r="U80" s="50" t="s">
        <v>700</v>
      </c>
      <c r="V80" s="5" t="s">
        <v>215</v>
      </c>
      <c r="W80" s="51" t="s">
        <v>700</v>
      </c>
      <c r="X80" s="2"/>
    </row>
    <row r="81" spans="1:24" x14ac:dyDescent="0.25">
      <c r="A81" s="44" t="str">
        <f t="shared" si="5"/>
        <v>...B.02. - Esophagus cancer</v>
      </c>
      <c r="B81" s="2">
        <v>75</v>
      </c>
      <c r="C81" s="36" t="s">
        <v>53</v>
      </c>
      <c r="D81" s="6" t="s">
        <v>1137</v>
      </c>
      <c r="E81" s="26" t="s">
        <v>1143</v>
      </c>
      <c r="F81" s="6"/>
      <c r="G81" s="40" t="str">
        <f t="shared" si="6"/>
        <v>cB02</v>
      </c>
      <c r="H81" s="40" t="str">
        <f t="shared" ref="H81:H87" si="7">CONCATENATE(D81,E81,F81)</f>
        <v>B02</v>
      </c>
      <c r="I81" s="18" t="s">
        <v>1280</v>
      </c>
      <c r="J81" s="17" t="s">
        <v>1159</v>
      </c>
      <c r="K81" s="5" t="s">
        <v>1167</v>
      </c>
      <c r="L81" s="49" t="s">
        <v>1168</v>
      </c>
      <c r="M81" s="49"/>
      <c r="N81" s="49"/>
      <c r="O81" s="59" t="s">
        <v>426</v>
      </c>
      <c r="P81" s="64" t="s">
        <v>426</v>
      </c>
      <c r="Q81" s="65"/>
      <c r="R81" s="83" t="s">
        <v>563</v>
      </c>
      <c r="S81" s="83" t="s">
        <v>1089</v>
      </c>
      <c r="T81" s="5" t="s">
        <v>1404</v>
      </c>
      <c r="U81" s="50" t="s">
        <v>53</v>
      </c>
      <c r="V81" s="5" t="s">
        <v>216</v>
      </c>
      <c r="W81" s="51" t="s">
        <v>53</v>
      </c>
      <c r="X81" s="2"/>
    </row>
    <row r="82" spans="1:24" x14ac:dyDescent="0.25">
      <c r="A82" s="44" t="str">
        <f t="shared" si="5"/>
        <v>...B.03. - Stomach cancer</v>
      </c>
      <c r="B82" s="2">
        <v>76</v>
      </c>
      <c r="C82" s="36" t="s">
        <v>54</v>
      </c>
      <c r="D82" s="6" t="s">
        <v>1137</v>
      </c>
      <c r="E82" s="26" t="s">
        <v>1144</v>
      </c>
      <c r="F82" s="6"/>
      <c r="G82" s="40" t="str">
        <f t="shared" si="6"/>
        <v>cB03</v>
      </c>
      <c r="H82" s="40" t="str">
        <f t="shared" si="7"/>
        <v>B03</v>
      </c>
      <c r="I82" s="18" t="s">
        <v>1281</v>
      </c>
      <c r="J82" s="17" t="s">
        <v>1159</v>
      </c>
      <c r="K82" s="5" t="s">
        <v>1169</v>
      </c>
      <c r="L82" s="49" t="s">
        <v>1170</v>
      </c>
      <c r="M82" s="49"/>
      <c r="N82" s="49"/>
      <c r="O82" s="59" t="s">
        <v>427</v>
      </c>
      <c r="P82" s="64" t="s">
        <v>427</v>
      </c>
      <c r="Q82" s="65"/>
      <c r="R82" s="83" t="s">
        <v>564</v>
      </c>
      <c r="S82" s="83" t="s">
        <v>1090</v>
      </c>
      <c r="T82" s="5" t="s">
        <v>217</v>
      </c>
      <c r="U82" s="50" t="s">
        <v>54</v>
      </c>
      <c r="V82" s="5" t="s">
        <v>217</v>
      </c>
      <c r="W82" s="51" t="s">
        <v>54</v>
      </c>
      <c r="X82" s="2" t="s">
        <v>952</v>
      </c>
    </row>
    <row r="83" spans="1:24" ht="25.5" x14ac:dyDescent="0.25">
      <c r="A83" s="44" t="str">
        <f t="shared" si="5"/>
        <v>...B.04. - Colon and rectum cancers</v>
      </c>
      <c r="B83" s="2">
        <v>77</v>
      </c>
      <c r="C83" s="36" t="s">
        <v>55</v>
      </c>
      <c r="D83" s="6" t="s">
        <v>1137</v>
      </c>
      <c r="E83" s="26" t="s">
        <v>1145</v>
      </c>
      <c r="F83" s="6"/>
      <c r="G83" s="40" t="str">
        <f t="shared" si="6"/>
        <v>cB04</v>
      </c>
      <c r="H83" s="40" t="str">
        <f t="shared" si="7"/>
        <v>B04</v>
      </c>
      <c r="I83" s="16" t="s">
        <v>1282</v>
      </c>
      <c r="J83" s="17" t="s">
        <v>1159</v>
      </c>
      <c r="K83" s="5" t="s">
        <v>1238</v>
      </c>
      <c r="L83" s="49" t="s">
        <v>1239</v>
      </c>
      <c r="M83" s="49"/>
      <c r="N83" s="49"/>
      <c r="O83" s="59" t="s">
        <v>428</v>
      </c>
      <c r="P83" s="64" t="s">
        <v>770</v>
      </c>
      <c r="Q83" s="65"/>
      <c r="R83" s="83" t="s">
        <v>565</v>
      </c>
      <c r="S83" s="83" t="s">
        <v>1091</v>
      </c>
      <c r="T83" s="5" t="s">
        <v>218</v>
      </c>
      <c r="U83" s="50" t="s">
        <v>55</v>
      </c>
      <c r="V83" s="5" t="s">
        <v>218</v>
      </c>
      <c r="W83" s="51" t="s">
        <v>55</v>
      </c>
      <c r="X83" s="2"/>
    </row>
    <row r="84" spans="1:24" x14ac:dyDescent="0.25">
      <c r="A84" s="44" t="str">
        <f t="shared" si="5"/>
        <v>...B.05. - Liver cancer</v>
      </c>
      <c r="B84" s="2">
        <v>78</v>
      </c>
      <c r="C84" s="36" t="s">
        <v>56</v>
      </c>
      <c r="D84" s="27" t="s">
        <v>1137</v>
      </c>
      <c r="E84" s="26" t="s">
        <v>1146</v>
      </c>
      <c r="F84" s="6"/>
      <c r="G84" s="40" t="str">
        <f t="shared" si="6"/>
        <v>cB05</v>
      </c>
      <c r="H84" s="40" t="str">
        <f t="shared" si="7"/>
        <v>B05</v>
      </c>
      <c r="I84" s="18" t="s">
        <v>1283</v>
      </c>
      <c r="J84" s="17" t="s">
        <v>1159</v>
      </c>
      <c r="K84" s="5" t="s">
        <v>1171</v>
      </c>
      <c r="L84" s="49" t="s">
        <v>1172</v>
      </c>
      <c r="M84" s="49"/>
      <c r="N84" s="49"/>
      <c r="O84" s="59" t="s">
        <v>429</v>
      </c>
      <c r="P84" s="64" t="s">
        <v>429</v>
      </c>
      <c r="Q84" s="65"/>
      <c r="R84" s="83" t="s">
        <v>566</v>
      </c>
      <c r="S84" s="83" t="s">
        <v>1082</v>
      </c>
      <c r="T84" s="5" t="s">
        <v>219</v>
      </c>
      <c r="U84" s="50" t="s">
        <v>56</v>
      </c>
      <c r="V84" s="5" t="s">
        <v>219</v>
      </c>
      <c r="W84" s="51" t="s">
        <v>56</v>
      </c>
      <c r="X84" s="2"/>
    </row>
    <row r="85" spans="1:24" x14ac:dyDescent="0.25">
      <c r="A85" s="44" t="str">
        <f t="shared" si="5"/>
        <v>...B.06. - Pancreas cancer</v>
      </c>
      <c r="B85" s="2">
        <v>79</v>
      </c>
      <c r="C85" s="36" t="s">
        <v>57</v>
      </c>
      <c r="D85" s="6" t="s">
        <v>1137</v>
      </c>
      <c r="E85" s="26" t="s">
        <v>1147</v>
      </c>
      <c r="F85" s="6"/>
      <c r="G85" s="40" t="str">
        <f t="shared" si="6"/>
        <v>cB06</v>
      </c>
      <c r="H85" s="40" t="str">
        <f t="shared" si="7"/>
        <v>B06</v>
      </c>
      <c r="I85" s="18" t="s">
        <v>1284</v>
      </c>
      <c r="J85" s="17" t="s">
        <v>1159</v>
      </c>
      <c r="K85" s="5" t="s">
        <v>1173</v>
      </c>
      <c r="L85" s="49" t="s">
        <v>1174</v>
      </c>
      <c r="M85" s="49"/>
      <c r="N85" s="49"/>
      <c r="O85" s="59" t="s">
        <v>430</v>
      </c>
      <c r="P85" s="64" t="s">
        <v>430</v>
      </c>
      <c r="Q85" s="65"/>
      <c r="R85" s="83" t="s">
        <v>567</v>
      </c>
      <c r="S85" s="83" t="s">
        <v>1083</v>
      </c>
      <c r="T85" s="5" t="s">
        <v>220</v>
      </c>
      <c r="U85" s="50" t="s">
        <v>57</v>
      </c>
      <c r="V85" s="5" t="s">
        <v>220</v>
      </c>
      <c r="W85" s="51" t="s">
        <v>57</v>
      </c>
      <c r="X85" s="2"/>
    </row>
    <row r="86" spans="1:24" x14ac:dyDescent="0.25">
      <c r="A86" s="44" t="str">
        <f t="shared" si="5"/>
        <v>...B.07. - Trachea, bronchus and lung cancers</v>
      </c>
      <c r="B86" s="2">
        <v>80</v>
      </c>
      <c r="C86" s="36" t="s">
        <v>58</v>
      </c>
      <c r="D86" s="6" t="s">
        <v>1137</v>
      </c>
      <c r="E86" s="26" t="s">
        <v>1148</v>
      </c>
      <c r="F86" s="6"/>
      <c r="G86" s="40" t="str">
        <f t="shared" si="6"/>
        <v>cB07</v>
      </c>
      <c r="H86" s="40" t="str">
        <f t="shared" si="7"/>
        <v>B07</v>
      </c>
      <c r="I86" s="18" t="s">
        <v>1285</v>
      </c>
      <c r="J86" s="17" t="s">
        <v>1159</v>
      </c>
      <c r="K86" s="5" t="s">
        <v>1176</v>
      </c>
      <c r="L86" s="49" t="s">
        <v>1175</v>
      </c>
      <c r="M86" s="49"/>
      <c r="N86" s="49"/>
      <c r="O86" s="59" t="s">
        <v>431</v>
      </c>
      <c r="P86" s="64" t="s">
        <v>771</v>
      </c>
      <c r="Q86" s="65"/>
      <c r="R86" s="83" t="s">
        <v>568</v>
      </c>
      <c r="S86" s="83" t="s">
        <v>1085</v>
      </c>
      <c r="T86" s="5" t="s">
        <v>221</v>
      </c>
      <c r="U86" s="50" t="s">
        <v>58</v>
      </c>
      <c r="V86" s="5" t="s">
        <v>221</v>
      </c>
      <c r="W86" s="51" t="s">
        <v>58</v>
      </c>
      <c r="X86" s="2"/>
    </row>
    <row r="87" spans="1:24" x14ac:dyDescent="0.25">
      <c r="A87" s="44" t="str">
        <f t="shared" si="5"/>
        <v>...B.08. - Melanoma and other skin cancers</v>
      </c>
      <c r="B87" s="2">
        <v>81</v>
      </c>
      <c r="C87" s="36" t="s">
        <v>59</v>
      </c>
      <c r="D87" s="6" t="s">
        <v>1137</v>
      </c>
      <c r="E87" s="26" t="s">
        <v>1149</v>
      </c>
      <c r="F87" s="6"/>
      <c r="G87" s="40" t="s">
        <v>952</v>
      </c>
      <c r="H87" s="40" t="str">
        <f t="shared" si="7"/>
        <v>B08</v>
      </c>
      <c r="J87" s="17" t="s">
        <v>1159</v>
      </c>
      <c r="K87" s="5" t="s">
        <v>952</v>
      </c>
      <c r="L87" s="49" t="s">
        <v>952</v>
      </c>
      <c r="M87" s="49"/>
      <c r="N87" s="49"/>
      <c r="O87" s="59" t="s">
        <v>432</v>
      </c>
      <c r="P87" s="64" t="s">
        <v>772</v>
      </c>
      <c r="Q87" s="65"/>
      <c r="R87" s="83"/>
      <c r="S87" s="83"/>
      <c r="T87" s="5" t="s">
        <v>222</v>
      </c>
      <c r="U87" s="50" t="s">
        <v>59</v>
      </c>
      <c r="V87" s="5" t="s">
        <v>222</v>
      </c>
      <c r="W87" s="51" t="s">
        <v>59</v>
      </c>
      <c r="X87" s="2"/>
    </row>
    <row r="88" spans="1:24" ht="25.5" x14ac:dyDescent="0.25">
      <c r="A88" s="44" t="str">
        <f t="shared" si="5"/>
        <v/>
      </c>
      <c r="B88" s="2">
        <v>82</v>
      </c>
      <c r="C88" s="33" t="s">
        <v>701</v>
      </c>
      <c r="D88" s="6" t="s">
        <v>1137</v>
      </c>
      <c r="E88" s="26" t="s">
        <v>1149</v>
      </c>
      <c r="F88" s="6"/>
      <c r="G88" s="40" t="str">
        <f t="shared" ref="G88:G103" si="8">CONCATENATE("c",D88,E88,F88)</f>
        <v>cB08</v>
      </c>
      <c r="H88" s="40"/>
      <c r="I88" s="18" t="s">
        <v>1286</v>
      </c>
      <c r="J88" s="17" t="s">
        <v>1159</v>
      </c>
      <c r="K88" s="5" t="s">
        <v>1242</v>
      </c>
      <c r="L88" s="49" t="s">
        <v>1243</v>
      </c>
      <c r="M88" s="49"/>
      <c r="N88" s="49"/>
      <c r="O88" s="59" t="s">
        <v>773</v>
      </c>
      <c r="P88" s="64" t="s">
        <v>773</v>
      </c>
      <c r="Q88" s="65"/>
      <c r="R88" s="83" t="s">
        <v>569</v>
      </c>
      <c r="S88" s="85">
        <v>172</v>
      </c>
      <c r="T88" s="5" t="s">
        <v>223</v>
      </c>
      <c r="U88" s="50" t="s">
        <v>701</v>
      </c>
      <c r="V88" s="5" t="s">
        <v>223</v>
      </c>
      <c r="W88" s="51" t="s">
        <v>701</v>
      </c>
      <c r="X88" s="2"/>
    </row>
    <row r="89" spans="1:24" x14ac:dyDescent="0.25">
      <c r="A89" s="44" t="str">
        <f t="shared" si="5"/>
        <v/>
      </c>
      <c r="B89" s="2">
        <v>83</v>
      </c>
      <c r="C89" s="33" t="s">
        <v>702</v>
      </c>
      <c r="D89" s="6" t="s">
        <v>1137</v>
      </c>
      <c r="E89" s="26" t="s">
        <v>1149</v>
      </c>
      <c r="F89" s="6"/>
      <c r="G89" s="40" t="str">
        <f t="shared" si="8"/>
        <v>cB08</v>
      </c>
      <c r="H89" s="40"/>
      <c r="I89" s="18" t="s">
        <v>1287</v>
      </c>
      <c r="J89" s="17" t="s">
        <v>1159</v>
      </c>
      <c r="K89" s="5" t="s">
        <v>1244</v>
      </c>
      <c r="L89" s="49" t="s">
        <v>1245</v>
      </c>
      <c r="M89" s="49"/>
      <c r="N89" s="49"/>
      <c r="O89" s="59" t="s">
        <v>774</v>
      </c>
      <c r="P89" s="64" t="s">
        <v>774</v>
      </c>
      <c r="Q89" s="65"/>
      <c r="R89" s="83" t="s">
        <v>570</v>
      </c>
      <c r="S89" s="83" t="s">
        <v>1079</v>
      </c>
      <c r="T89" s="5" t="s">
        <v>224</v>
      </c>
      <c r="U89" s="50" t="s">
        <v>702</v>
      </c>
      <c r="V89" s="5" t="s">
        <v>224</v>
      </c>
      <c r="W89" s="51" t="s">
        <v>702</v>
      </c>
      <c r="X89" s="2"/>
    </row>
    <row r="90" spans="1:24" x14ac:dyDescent="0.25">
      <c r="A90" s="44" t="str">
        <f t="shared" si="5"/>
        <v>...B.09. - Breast cancer</v>
      </c>
      <c r="B90" s="2">
        <v>84</v>
      </c>
      <c r="C90" s="31" t="s">
        <v>60</v>
      </c>
      <c r="D90" s="6" t="s">
        <v>1137</v>
      </c>
      <c r="E90" s="26" t="s">
        <v>1150</v>
      </c>
      <c r="F90" s="6"/>
      <c r="G90" s="40" t="str">
        <f t="shared" si="8"/>
        <v>cB09</v>
      </c>
      <c r="H90" s="40" t="str">
        <f>CONCATENATE(D90,E90,F90)</f>
        <v>B09</v>
      </c>
      <c r="I90" s="16" t="s">
        <v>1288</v>
      </c>
      <c r="J90" s="17" t="s">
        <v>1159</v>
      </c>
      <c r="K90" s="5" t="s">
        <v>1177</v>
      </c>
      <c r="L90" s="49" t="s">
        <v>1178</v>
      </c>
      <c r="M90" s="49"/>
      <c r="N90" s="49"/>
      <c r="O90" s="59" t="s">
        <v>433</v>
      </c>
      <c r="P90" s="64" t="s">
        <v>433</v>
      </c>
      <c r="Q90" s="65"/>
      <c r="R90" s="83" t="s">
        <v>571</v>
      </c>
      <c r="S90" s="83" t="s">
        <v>1080</v>
      </c>
      <c r="T90" s="5" t="s">
        <v>225</v>
      </c>
      <c r="U90" s="20" t="s">
        <v>60</v>
      </c>
      <c r="V90" s="5" t="s">
        <v>225</v>
      </c>
      <c r="W90" s="45" t="s">
        <v>60</v>
      </c>
      <c r="X90" s="2"/>
    </row>
    <row r="91" spans="1:24" x14ac:dyDescent="0.25">
      <c r="A91" s="44" t="str">
        <f t="shared" si="5"/>
        <v>...B.10. - Uterine cancer</v>
      </c>
      <c r="B91" s="2"/>
      <c r="C91" s="37" t="s">
        <v>1267</v>
      </c>
      <c r="D91" s="6" t="s">
        <v>1137</v>
      </c>
      <c r="E91" s="26">
        <v>10</v>
      </c>
      <c r="F91" s="6"/>
      <c r="G91" s="40"/>
      <c r="H91" s="40" t="str">
        <f>CONCATENATE(D91,E91,F91)</f>
        <v>B10</v>
      </c>
      <c r="J91" s="17" t="s">
        <v>1159</v>
      </c>
      <c r="K91" s="5"/>
      <c r="L91" s="49"/>
      <c r="M91" s="49"/>
      <c r="N91" s="49"/>
      <c r="O91" s="59"/>
      <c r="P91" s="64"/>
      <c r="Q91" s="65"/>
      <c r="R91" s="83"/>
      <c r="S91" s="83"/>
      <c r="T91" s="5" t="s">
        <v>1266</v>
      </c>
      <c r="U91" s="20"/>
      <c r="V91" s="5" t="s">
        <v>1266</v>
      </c>
      <c r="W91" s="45"/>
      <c r="X91" s="2"/>
    </row>
    <row r="92" spans="1:24" x14ac:dyDescent="0.25">
      <c r="A92" s="44" t="str">
        <f t="shared" si="5"/>
        <v/>
      </c>
      <c r="B92" s="2">
        <v>85</v>
      </c>
      <c r="C92" s="31" t="s">
        <v>61</v>
      </c>
      <c r="D92" s="6" t="s">
        <v>1137</v>
      </c>
      <c r="E92" s="26" t="s">
        <v>1153</v>
      </c>
      <c r="F92" s="6"/>
      <c r="G92" s="40" t="str">
        <f>CONCATENATE("c",D91,E91,F92)</f>
        <v>cB10</v>
      </c>
      <c r="H92" s="40"/>
      <c r="I92" s="5" t="s">
        <v>1289</v>
      </c>
      <c r="J92" s="17" t="s">
        <v>1159</v>
      </c>
      <c r="K92" s="5" t="s">
        <v>1179</v>
      </c>
      <c r="L92" s="49" t="s">
        <v>1180</v>
      </c>
      <c r="M92" s="49"/>
      <c r="N92" s="49"/>
      <c r="O92" s="59" t="s">
        <v>434</v>
      </c>
      <c r="P92" s="64" t="s">
        <v>434</v>
      </c>
      <c r="Q92" s="65"/>
      <c r="R92" s="83" t="s">
        <v>572</v>
      </c>
      <c r="S92" s="83" t="s">
        <v>1074</v>
      </c>
      <c r="T92" s="5" t="s">
        <v>226</v>
      </c>
      <c r="U92" s="20" t="s">
        <v>61</v>
      </c>
      <c r="V92" s="5" t="s">
        <v>226</v>
      </c>
      <c r="W92" s="45" t="s">
        <v>61</v>
      </c>
      <c r="X92" s="2"/>
    </row>
    <row r="93" spans="1:24" ht="25.5" x14ac:dyDescent="0.25">
      <c r="A93" s="44" t="str">
        <f t="shared" si="5"/>
        <v/>
      </c>
      <c r="B93" s="2">
        <v>86</v>
      </c>
      <c r="C93" s="31" t="s">
        <v>62</v>
      </c>
      <c r="D93" s="6" t="s">
        <v>1137</v>
      </c>
      <c r="E93" s="26">
        <v>10</v>
      </c>
      <c r="F93" s="6"/>
      <c r="G93" s="40" t="str">
        <f t="shared" si="8"/>
        <v>cB10</v>
      </c>
      <c r="H93" s="40"/>
      <c r="I93" s="5" t="s">
        <v>1290</v>
      </c>
      <c r="J93" s="17" t="s">
        <v>1159</v>
      </c>
      <c r="K93" s="5" t="s">
        <v>1246</v>
      </c>
      <c r="L93" s="49" t="s">
        <v>1260</v>
      </c>
      <c r="M93" s="49"/>
      <c r="N93" s="49"/>
      <c r="O93" s="59" t="s">
        <v>435</v>
      </c>
      <c r="P93" s="64" t="s">
        <v>775</v>
      </c>
      <c r="Q93" s="65"/>
      <c r="R93" s="83" t="s">
        <v>573</v>
      </c>
      <c r="S93" s="83" t="s">
        <v>1073</v>
      </c>
      <c r="T93" s="5" t="s">
        <v>227</v>
      </c>
      <c r="U93" s="20" t="s">
        <v>62</v>
      </c>
      <c r="V93" s="5" t="s">
        <v>227</v>
      </c>
      <c r="W93" s="45" t="s">
        <v>62</v>
      </c>
      <c r="X93" s="2"/>
    </row>
    <row r="94" spans="1:24" x14ac:dyDescent="0.25">
      <c r="A94" s="44" t="str">
        <f t="shared" si="5"/>
        <v>...B.11. - Ovary cancer</v>
      </c>
      <c r="B94" s="2">
        <v>87</v>
      </c>
      <c r="C94" s="31" t="s">
        <v>63</v>
      </c>
      <c r="D94" s="6" t="s">
        <v>1137</v>
      </c>
      <c r="E94" s="26">
        <v>11</v>
      </c>
      <c r="F94" s="6"/>
      <c r="G94" s="40" t="str">
        <f t="shared" si="8"/>
        <v>cB11</v>
      </c>
      <c r="H94" s="40" t="str">
        <f>CONCATENATE(D94,E94,F94)</f>
        <v>B11</v>
      </c>
      <c r="I94" s="5" t="s">
        <v>1291</v>
      </c>
      <c r="J94" s="17" t="s">
        <v>1159</v>
      </c>
      <c r="K94" s="5" t="s">
        <v>1205</v>
      </c>
      <c r="L94" s="49" t="s">
        <v>1206</v>
      </c>
      <c r="M94" s="49"/>
      <c r="N94" s="49"/>
      <c r="O94" s="59" t="s">
        <v>436</v>
      </c>
      <c r="P94" s="64" t="s">
        <v>436</v>
      </c>
      <c r="Q94" s="65"/>
      <c r="R94" s="83" t="s">
        <v>574</v>
      </c>
      <c r="S94" s="83" t="s">
        <v>1078</v>
      </c>
      <c r="T94" s="5" t="s">
        <v>228</v>
      </c>
      <c r="U94" s="20" t="s">
        <v>63</v>
      </c>
      <c r="V94" s="5" t="s">
        <v>228</v>
      </c>
      <c r="W94" s="45" t="s">
        <v>63</v>
      </c>
      <c r="X94" s="2"/>
    </row>
    <row r="95" spans="1:24" x14ac:dyDescent="0.25">
      <c r="A95" s="44" t="str">
        <f t="shared" si="5"/>
        <v>...B.12. - Prostate cancer</v>
      </c>
      <c r="B95" s="2">
        <v>88</v>
      </c>
      <c r="C95" s="31" t="s">
        <v>64</v>
      </c>
      <c r="D95" s="6" t="s">
        <v>1137</v>
      </c>
      <c r="E95" s="26" t="s">
        <v>1151</v>
      </c>
      <c r="F95" s="6"/>
      <c r="G95" s="40" t="str">
        <f t="shared" si="8"/>
        <v>cB12</v>
      </c>
      <c r="H95" s="40" t="str">
        <f>CONCATENATE(D95,E95,F95)</f>
        <v>B12</v>
      </c>
      <c r="I95" s="19" t="s">
        <v>1292</v>
      </c>
      <c r="J95" s="17" t="s">
        <v>1159</v>
      </c>
      <c r="K95" s="5" t="s">
        <v>1181</v>
      </c>
      <c r="L95" s="49" t="s">
        <v>1182</v>
      </c>
      <c r="M95" s="49"/>
      <c r="N95" s="49"/>
      <c r="O95" s="59" t="s">
        <v>437</v>
      </c>
      <c r="P95" s="64" t="s">
        <v>437</v>
      </c>
      <c r="Q95" s="65"/>
      <c r="R95" s="83" t="s">
        <v>575</v>
      </c>
      <c r="S95" s="83" t="s">
        <v>1077</v>
      </c>
      <c r="T95" s="5" t="s">
        <v>229</v>
      </c>
      <c r="U95" s="20" t="s">
        <v>64</v>
      </c>
      <c r="V95" s="5" t="s">
        <v>229</v>
      </c>
      <c r="W95" s="45" t="s">
        <v>64</v>
      </c>
      <c r="X95" s="2"/>
    </row>
    <row r="96" spans="1:24" x14ac:dyDescent="0.25">
      <c r="A96" s="44" t="str">
        <f t="shared" si="5"/>
        <v/>
      </c>
      <c r="B96" s="2">
        <v>89</v>
      </c>
      <c r="C96" s="31" t="s">
        <v>703</v>
      </c>
      <c r="D96" s="6" t="s">
        <v>1137</v>
      </c>
      <c r="E96" s="26">
        <v>99</v>
      </c>
      <c r="F96" s="6"/>
      <c r="G96" s="40" t="str">
        <f t="shared" si="8"/>
        <v>cB99</v>
      </c>
      <c r="H96" s="40"/>
      <c r="I96" s="19" t="s">
        <v>1293</v>
      </c>
      <c r="J96" s="17" t="s">
        <v>1159</v>
      </c>
      <c r="K96" s="5" t="s">
        <v>1183</v>
      </c>
      <c r="L96" s="49" t="s">
        <v>1184</v>
      </c>
      <c r="M96" s="49"/>
      <c r="N96" s="49"/>
      <c r="O96" s="59" t="s">
        <v>776</v>
      </c>
      <c r="P96" s="64" t="s">
        <v>776</v>
      </c>
      <c r="Q96" s="65"/>
      <c r="R96" s="83" t="s">
        <v>576</v>
      </c>
      <c r="S96" s="83" t="s">
        <v>1081</v>
      </c>
      <c r="T96" s="5" t="s">
        <v>230</v>
      </c>
      <c r="U96" s="20" t="s">
        <v>703</v>
      </c>
      <c r="V96" s="5" t="s">
        <v>230</v>
      </c>
      <c r="W96" s="45" t="s">
        <v>703</v>
      </c>
      <c r="X96" s="2"/>
    </row>
    <row r="97" spans="1:24" x14ac:dyDescent="0.25">
      <c r="A97" s="44" t="str">
        <f t="shared" si="5"/>
        <v>...B.13. - Kidney, renal pelvis and ureter cancer</v>
      </c>
      <c r="B97" s="2">
        <v>90</v>
      </c>
      <c r="C97" s="31" t="s">
        <v>704</v>
      </c>
      <c r="D97" s="6" t="s">
        <v>1137</v>
      </c>
      <c r="E97" s="26">
        <v>13</v>
      </c>
      <c r="F97" s="6"/>
      <c r="G97" s="40" t="str">
        <f t="shared" si="8"/>
        <v>cB13</v>
      </c>
      <c r="H97" s="40" t="str">
        <f>CONCATENATE(D97,E97,F97)</f>
        <v>B13</v>
      </c>
      <c r="I97" s="19" t="s">
        <v>1294</v>
      </c>
      <c r="J97" s="17" t="s">
        <v>1159</v>
      </c>
      <c r="K97" s="5" t="s">
        <v>1207</v>
      </c>
      <c r="L97" s="49" t="s">
        <v>1208</v>
      </c>
      <c r="M97" s="49"/>
      <c r="N97" s="49"/>
      <c r="O97" s="59" t="s">
        <v>969</v>
      </c>
      <c r="P97" s="64" t="s">
        <v>777</v>
      </c>
      <c r="Q97" s="65"/>
      <c r="R97" s="83" t="s">
        <v>577</v>
      </c>
      <c r="S97" s="83" t="s">
        <v>1084</v>
      </c>
      <c r="T97" s="5" t="s">
        <v>231</v>
      </c>
      <c r="U97" s="20" t="s">
        <v>704</v>
      </c>
      <c r="V97" s="5" t="s">
        <v>231</v>
      </c>
      <c r="W97" s="45" t="s">
        <v>704</v>
      </c>
      <c r="X97" s="2"/>
    </row>
    <row r="98" spans="1:24" x14ac:dyDescent="0.25">
      <c r="A98" s="44" t="str">
        <f t="shared" si="5"/>
        <v>...B.14. - Bladder cancer</v>
      </c>
      <c r="B98" s="2">
        <v>91</v>
      </c>
      <c r="C98" s="31" t="s">
        <v>705</v>
      </c>
      <c r="D98" s="6" t="s">
        <v>1137</v>
      </c>
      <c r="E98" s="26">
        <v>14</v>
      </c>
      <c r="F98" s="6"/>
      <c r="G98" s="40" t="str">
        <f t="shared" si="8"/>
        <v>cB14</v>
      </c>
      <c r="H98" s="40" t="str">
        <f>CONCATENATE(D98,E98,F98)</f>
        <v>B14</v>
      </c>
      <c r="I98" s="5" t="s">
        <v>1295</v>
      </c>
      <c r="J98" s="17" t="s">
        <v>1159</v>
      </c>
      <c r="K98" s="5" t="s">
        <v>1247</v>
      </c>
      <c r="L98" s="49" t="s">
        <v>1248</v>
      </c>
      <c r="M98" s="49"/>
      <c r="N98" s="49"/>
      <c r="O98" s="59" t="s">
        <v>438</v>
      </c>
      <c r="P98" s="64" t="s">
        <v>438</v>
      </c>
      <c r="Q98" s="65"/>
      <c r="R98" s="83" t="s">
        <v>578</v>
      </c>
      <c r="S98" s="83" t="s">
        <v>1076</v>
      </c>
      <c r="T98" s="5" t="s">
        <v>232</v>
      </c>
      <c r="U98" s="20" t="s">
        <v>705</v>
      </c>
      <c r="V98" s="5" t="s">
        <v>232</v>
      </c>
      <c r="W98" s="45" t="s">
        <v>705</v>
      </c>
      <c r="X98" s="2"/>
    </row>
    <row r="99" spans="1:24" ht="25.5" x14ac:dyDescent="0.25">
      <c r="A99" s="44" t="str">
        <f t="shared" si="5"/>
        <v>...B.15. - Brain and nervous system cancers</v>
      </c>
      <c r="B99" s="2">
        <v>92</v>
      </c>
      <c r="C99" s="31" t="s">
        <v>706</v>
      </c>
      <c r="D99" s="6" t="s">
        <v>1137</v>
      </c>
      <c r="E99" s="26">
        <v>15</v>
      </c>
      <c r="F99" s="6"/>
      <c r="G99" s="40" t="str">
        <f t="shared" si="8"/>
        <v>cB15</v>
      </c>
      <c r="H99" s="40" t="str">
        <f>CONCATENATE(D99,E99,F99)</f>
        <v>B15</v>
      </c>
      <c r="I99" s="16" t="s">
        <v>1296</v>
      </c>
      <c r="J99" s="17" t="s">
        <v>1159</v>
      </c>
      <c r="K99" s="5" t="s">
        <v>1185</v>
      </c>
      <c r="L99" s="19" t="s">
        <v>1186</v>
      </c>
      <c r="M99" s="19"/>
      <c r="N99" s="19"/>
      <c r="O99" s="59" t="s">
        <v>970</v>
      </c>
      <c r="P99" s="64" t="s">
        <v>778</v>
      </c>
      <c r="Q99" s="65"/>
      <c r="R99" s="83" t="s">
        <v>579</v>
      </c>
      <c r="S99" s="83" t="s">
        <v>1072</v>
      </c>
      <c r="T99" s="5" t="s">
        <v>233</v>
      </c>
      <c r="U99" s="20" t="s">
        <v>706</v>
      </c>
      <c r="V99" s="5" t="s">
        <v>233</v>
      </c>
      <c r="W99" s="45" t="s">
        <v>706</v>
      </c>
      <c r="X99" s="2"/>
    </row>
    <row r="100" spans="1:24" x14ac:dyDescent="0.25">
      <c r="A100" s="44" t="str">
        <f t="shared" si="5"/>
        <v/>
      </c>
      <c r="B100" s="2">
        <v>93</v>
      </c>
      <c r="C100" s="31" t="s">
        <v>707</v>
      </c>
      <c r="D100" s="6" t="s">
        <v>1137</v>
      </c>
      <c r="E100" s="26">
        <v>99</v>
      </c>
      <c r="F100" s="6"/>
      <c r="G100" s="40" t="str">
        <f t="shared" si="8"/>
        <v>cB99</v>
      </c>
      <c r="H100" s="40"/>
      <c r="I100" s="19" t="s">
        <v>1297</v>
      </c>
      <c r="J100" s="17" t="s">
        <v>1159</v>
      </c>
      <c r="K100" s="5" t="s">
        <v>1187</v>
      </c>
      <c r="L100" s="49" t="s">
        <v>1188</v>
      </c>
      <c r="M100" s="49"/>
      <c r="N100" s="49"/>
      <c r="O100" s="59" t="s">
        <v>971</v>
      </c>
      <c r="P100" s="64" t="s">
        <v>779</v>
      </c>
      <c r="Q100" s="65"/>
      <c r="R100" s="83" t="s">
        <v>580</v>
      </c>
      <c r="S100" s="83" t="s">
        <v>1075</v>
      </c>
      <c r="T100" s="5" t="s">
        <v>1415</v>
      </c>
      <c r="U100" s="20" t="s">
        <v>707</v>
      </c>
      <c r="V100" s="5" t="s">
        <v>897</v>
      </c>
      <c r="W100" s="45" t="s">
        <v>707</v>
      </c>
      <c r="X100" s="2"/>
    </row>
    <row r="101" spans="1:24" x14ac:dyDescent="0.25">
      <c r="A101" s="44" t="str">
        <f t="shared" si="5"/>
        <v/>
      </c>
      <c r="B101" s="2">
        <v>94</v>
      </c>
      <c r="C101" s="31" t="s">
        <v>708</v>
      </c>
      <c r="D101" s="6" t="s">
        <v>1137</v>
      </c>
      <c r="E101" s="26">
        <v>99</v>
      </c>
      <c r="F101" s="6"/>
      <c r="G101" s="40" t="str">
        <f t="shared" si="8"/>
        <v>cB99</v>
      </c>
      <c r="H101" s="40"/>
      <c r="I101" s="19" t="s">
        <v>1298</v>
      </c>
      <c r="J101" s="17" t="s">
        <v>1159</v>
      </c>
      <c r="K101" s="5" t="s">
        <v>1189</v>
      </c>
      <c r="L101" s="49" t="s">
        <v>1190</v>
      </c>
      <c r="M101" s="49"/>
      <c r="N101" s="49"/>
      <c r="O101" s="59" t="s">
        <v>780</v>
      </c>
      <c r="P101" s="64" t="s">
        <v>780</v>
      </c>
      <c r="Q101" s="65"/>
      <c r="R101" s="83" t="s">
        <v>581</v>
      </c>
      <c r="S101" s="83" t="s">
        <v>1071</v>
      </c>
      <c r="T101" s="5" t="s">
        <v>898</v>
      </c>
      <c r="U101" s="20" t="s">
        <v>708</v>
      </c>
      <c r="V101" s="5" t="s">
        <v>898</v>
      </c>
      <c r="W101" s="45" t="s">
        <v>708</v>
      </c>
      <c r="X101" s="2"/>
    </row>
    <row r="102" spans="1:24" x14ac:dyDescent="0.25">
      <c r="A102" s="44" t="str">
        <f t="shared" si="5"/>
        <v/>
      </c>
      <c r="B102" s="2">
        <v>95</v>
      </c>
      <c r="C102" s="31" t="s">
        <v>709</v>
      </c>
      <c r="D102" s="6" t="s">
        <v>1137</v>
      </c>
      <c r="E102" s="26">
        <v>99</v>
      </c>
      <c r="F102" s="6"/>
      <c r="G102" s="40" t="str">
        <f t="shared" si="8"/>
        <v>cB99</v>
      </c>
      <c r="H102" s="40"/>
      <c r="I102" s="19" t="s">
        <v>1299</v>
      </c>
      <c r="J102" s="17" t="s">
        <v>1159</v>
      </c>
      <c r="K102" s="5" t="s">
        <v>1191</v>
      </c>
      <c r="L102" s="49" t="s">
        <v>1192</v>
      </c>
      <c r="M102" s="49"/>
      <c r="N102" s="49"/>
      <c r="O102" s="59" t="s">
        <v>781</v>
      </c>
      <c r="P102" s="64" t="s">
        <v>781</v>
      </c>
      <c r="Q102" s="65"/>
      <c r="R102" s="83" t="s">
        <v>582</v>
      </c>
      <c r="S102" s="83" t="s">
        <v>1070</v>
      </c>
      <c r="T102" s="5" t="s">
        <v>899</v>
      </c>
      <c r="U102" s="20" t="s">
        <v>709</v>
      </c>
      <c r="V102" s="5" t="s">
        <v>899</v>
      </c>
      <c r="W102" s="45" t="s">
        <v>709</v>
      </c>
      <c r="X102" s="2"/>
    </row>
    <row r="103" spans="1:24" x14ac:dyDescent="0.25">
      <c r="A103" s="44" t="str">
        <f t="shared" si="5"/>
        <v/>
      </c>
      <c r="B103" s="2">
        <v>96</v>
      </c>
      <c r="C103" s="31" t="s">
        <v>710</v>
      </c>
      <c r="D103" s="6" t="s">
        <v>1137</v>
      </c>
      <c r="E103" s="26">
        <v>99</v>
      </c>
      <c r="F103" s="6"/>
      <c r="G103" s="40" t="str">
        <f t="shared" si="8"/>
        <v>cB99</v>
      </c>
      <c r="H103" s="40"/>
      <c r="I103" s="5"/>
      <c r="J103" s="5"/>
      <c r="K103" s="5" t="s">
        <v>782</v>
      </c>
      <c r="L103" s="49" t="s">
        <v>782</v>
      </c>
      <c r="M103" s="49"/>
      <c r="N103" s="49"/>
      <c r="O103" s="59" t="s">
        <v>782</v>
      </c>
      <c r="P103" s="64" t="s">
        <v>782</v>
      </c>
      <c r="Q103" s="65"/>
      <c r="R103" s="83" t="s">
        <v>583</v>
      </c>
      <c r="S103" s="83" t="s">
        <v>1069</v>
      </c>
      <c r="T103" s="5" t="s">
        <v>900</v>
      </c>
      <c r="U103" s="20" t="s">
        <v>710</v>
      </c>
      <c r="V103" s="5" t="s">
        <v>900</v>
      </c>
      <c r="W103" s="45" t="s">
        <v>710</v>
      </c>
      <c r="X103" s="2"/>
    </row>
    <row r="104" spans="1:24" x14ac:dyDescent="0.25">
      <c r="A104" s="44" t="str">
        <f t="shared" si="5"/>
        <v>...B.16. - Lymphomas and multiple myeloma</v>
      </c>
      <c r="B104" s="2">
        <v>97</v>
      </c>
      <c r="C104" s="31" t="s">
        <v>711</v>
      </c>
      <c r="D104" s="6" t="s">
        <v>1137</v>
      </c>
      <c r="E104" s="26">
        <v>16</v>
      </c>
      <c r="F104" s="6"/>
      <c r="G104" s="40"/>
      <c r="H104" s="40" t="str">
        <f t="shared" ref="H104:H109" si="9">CONCATENATE(D104,E104,F104)</f>
        <v>B16</v>
      </c>
      <c r="I104" s="5"/>
      <c r="J104" s="5"/>
      <c r="K104" s="5" t="s">
        <v>952</v>
      </c>
      <c r="L104" s="49" t="s">
        <v>952</v>
      </c>
      <c r="M104" s="49"/>
      <c r="N104" s="49"/>
      <c r="O104" s="59" t="s">
        <v>439</v>
      </c>
      <c r="P104" s="64" t="s">
        <v>783</v>
      </c>
      <c r="Q104" s="65"/>
      <c r="R104" s="83" t="s">
        <v>584</v>
      </c>
      <c r="S104" s="83" t="s">
        <v>1032</v>
      </c>
      <c r="T104" s="5" t="s">
        <v>234</v>
      </c>
      <c r="U104" s="20" t="s">
        <v>904</v>
      </c>
      <c r="V104" s="5" t="s">
        <v>234</v>
      </c>
      <c r="W104" s="45" t="s">
        <v>904</v>
      </c>
      <c r="X104" s="2"/>
    </row>
    <row r="105" spans="1:24" x14ac:dyDescent="0.25">
      <c r="A105" s="44" t="str">
        <f t="shared" si="5"/>
        <v>....B.16.a. - Hodgkin lymphoma</v>
      </c>
      <c r="B105" s="2">
        <v>98</v>
      </c>
      <c r="C105" s="33" t="s">
        <v>712</v>
      </c>
      <c r="D105" s="6" t="s">
        <v>1137</v>
      </c>
      <c r="E105" s="26">
        <v>16</v>
      </c>
      <c r="F105" s="6" t="s">
        <v>1126</v>
      </c>
      <c r="G105" s="40" t="str">
        <f t="shared" ref="G105:G111" si="10">CONCATENATE("c",D105,E105,F105)</f>
        <v>cB16a</v>
      </c>
      <c r="H105" s="40" t="str">
        <f t="shared" si="9"/>
        <v>B16a</v>
      </c>
      <c r="I105" s="5"/>
      <c r="J105" s="5"/>
      <c r="K105" s="5" t="s">
        <v>784</v>
      </c>
      <c r="L105" s="49" t="s">
        <v>784</v>
      </c>
      <c r="M105" s="49"/>
      <c r="N105" s="49"/>
      <c r="O105" s="59" t="s">
        <v>784</v>
      </c>
      <c r="P105" s="64" t="s">
        <v>784</v>
      </c>
      <c r="Q105" s="65"/>
      <c r="R105" s="83" t="s">
        <v>585</v>
      </c>
      <c r="S105" s="85">
        <v>201</v>
      </c>
      <c r="T105" s="5" t="s">
        <v>901</v>
      </c>
      <c r="U105" s="5" t="s">
        <v>712</v>
      </c>
      <c r="V105" s="5" t="s">
        <v>901</v>
      </c>
      <c r="W105" s="5" t="s">
        <v>712</v>
      </c>
      <c r="X105" s="2"/>
    </row>
    <row r="106" spans="1:24" x14ac:dyDescent="0.25">
      <c r="A106" s="44" t="str">
        <f t="shared" si="5"/>
        <v>....B.16.b. - Non-Hodgkin lymphoma</v>
      </c>
      <c r="B106" s="2">
        <v>99</v>
      </c>
      <c r="C106" s="33" t="s">
        <v>713</v>
      </c>
      <c r="D106" s="6" t="s">
        <v>1137</v>
      </c>
      <c r="E106" s="26">
        <v>16</v>
      </c>
      <c r="F106" s="6" t="s">
        <v>1127</v>
      </c>
      <c r="G106" s="40" t="str">
        <f t="shared" si="10"/>
        <v>cB16b</v>
      </c>
      <c r="H106" s="40" t="str">
        <f t="shared" si="9"/>
        <v>B16b</v>
      </c>
      <c r="I106" s="5"/>
      <c r="J106" s="5"/>
      <c r="K106" s="5" t="s">
        <v>972</v>
      </c>
      <c r="L106" s="49" t="s">
        <v>785</v>
      </c>
      <c r="M106" s="49"/>
      <c r="N106" s="49"/>
      <c r="O106" s="59" t="s">
        <v>972</v>
      </c>
      <c r="P106" s="64" t="s">
        <v>785</v>
      </c>
      <c r="Q106" s="65"/>
      <c r="R106" s="83" t="s">
        <v>586</v>
      </c>
      <c r="S106" s="83" t="s">
        <v>1031</v>
      </c>
      <c r="T106" s="5" t="s">
        <v>902</v>
      </c>
      <c r="U106" s="5" t="s">
        <v>713</v>
      </c>
      <c r="V106" s="5" t="s">
        <v>902</v>
      </c>
      <c r="W106" s="5" t="s">
        <v>713</v>
      </c>
      <c r="X106" s="2"/>
    </row>
    <row r="107" spans="1:24" x14ac:dyDescent="0.25">
      <c r="A107" s="44" t="str">
        <f t="shared" si="5"/>
        <v>....B.16.c. - Multiple myeloma</v>
      </c>
      <c r="B107" s="2">
        <v>100</v>
      </c>
      <c r="C107" s="33" t="s">
        <v>714</v>
      </c>
      <c r="D107" s="6" t="s">
        <v>1137</v>
      </c>
      <c r="E107" s="26">
        <v>16</v>
      </c>
      <c r="F107" s="6" t="s">
        <v>1129</v>
      </c>
      <c r="G107" s="40" t="str">
        <f t="shared" si="10"/>
        <v>cB16c</v>
      </c>
      <c r="H107" s="40" t="str">
        <f t="shared" si="9"/>
        <v>B16c</v>
      </c>
      <c r="I107" s="5"/>
      <c r="J107" s="5"/>
      <c r="K107" s="5" t="s">
        <v>973</v>
      </c>
      <c r="L107" s="49" t="s">
        <v>786</v>
      </c>
      <c r="M107" s="49"/>
      <c r="N107" s="49"/>
      <c r="O107" s="59" t="s">
        <v>973</v>
      </c>
      <c r="P107" s="64" t="s">
        <v>786</v>
      </c>
      <c r="Q107" s="65"/>
      <c r="R107" s="83" t="s">
        <v>587</v>
      </c>
      <c r="S107" s="85">
        <v>203</v>
      </c>
      <c r="T107" s="5" t="s">
        <v>903</v>
      </c>
      <c r="U107" s="5" t="s">
        <v>714</v>
      </c>
      <c r="V107" s="5" t="s">
        <v>903</v>
      </c>
      <c r="W107" s="5" t="s">
        <v>714</v>
      </c>
      <c r="X107" s="2"/>
    </row>
    <row r="108" spans="1:24" x14ac:dyDescent="0.25">
      <c r="A108" s="44" t="str">
        <f t="shared" si="5"/>
        <v>...B.17. - Leukemia</v>
      </c>
      <c r="B108" s="2">
        <v>101</v>
      </c>
      <c r="C108" s="31" t="s">
        <v>715</v>
      </c>
      <c r="D108" s="6" t="s">
        <v>1137</v>
      </c>
      <c r="E108" s="26">
        <v>17</v>
      </c>
      <c r="F108" s="6"/>
      <c r="G108" s="40" t="str">
        <f t="shared" si="10"/>
        <v>cB17</v>
      </c>
      <c r="H108" s="40" t="str">
        <f t="shared" si="9"/>
        <v>B17</v>
      </c>
      <c r="I108" s="5"/>
      <c r="J108" s="5"/>
      <c r="K108" s="5" t="s">
        <v>440</v>
      </c>
      <c r="L108" s="49" t="s">
        <v>787</v>
      </c>
      <c r="M108" s="49"/>
      <c r="N108" s="49"/>
      <c r="O108" s="59" t="s">
        <v>440</v>
      </c>
      <c r="P108" s="64" t="s">
        <v>787</v>
      </c>
      <c r="Q108" s="65"/>
      <c r="R108" s="83" t="s">
        <v>588</v>
      </c>
      <c r="S108" s="83" t="s">
        <v>1030</v>
      </c>
      <c r="T108" s="5" t="s">
        <v>1405</v>
      </c>
      <c r="U108" s="20" t="s">
        <v>715</v>
      </c>
      <c r="V108" s="5" t="s">
        <v>235</v>
      </c>
      <c r="W108" s="45" t="s">
        <v>715</v>
      </c>
      <c r="X108" s="2"/>
    </row>
    <row r="109" spans="1:24" ht="38.25" x14ac:dyDescent="0.25">
      <c r="A109" s="44" t="str">
        <f t="shared" si="5"/>
        <v>...B.99. - Other malignant neoplasms</v>
      </c>
      <c r="B109" s="2">
        <v>102</v>
      </c>
      <c r="C109" s="31" t="s">
        <v>716</v>
      </c>
      <c r="D109" s="6" t="s">
        <v>1137</v>
      </c>
      <c r="E109" s="26">
        <v>99</v>
      </c>
      <c r="F109" s="6"/>
      <c r="G109" s="40" t="str">
        <f t="shared" si="10"/>
        <v>cB99</v>
      </c>
      <c r="H109" s="40" t="str">
        <f t="shared" si="9"/>
        <v>B99</v>
      </c>
      <c r="I109" s="5" t="s">
        <v>1300</v>
      </c>
      <c r="J109" s="5" t="s">
        <v>1159</v>
      </c>
      <c r="K109" s="5" t="s">
        <v>1209</v>
      </c>
      <c r="L109" s="49" t="s">
        <v>1210</v>
      </c>
      <c r="M109" s="49"/>
      <c r="N109" s="49"/>
      <c r="O109" s="59" t="s">
        <v>974</v>
      </c>
      <c r="P109" s="64" t="s">
        <v>788</v>
      </c>
      <c r="Q109" s="65"/>
      <c r="R109" s="83"/>
      <c r="S109" s="83"/>
      <c r="T109" s="5" t="s">
        <v>236</v>
      </c>
      <c r="U109" s="20" t="s">
        <v>905</v>
      </c>
      <c r="V109" s="5" t="s">
        <v>236</v>
      </c>
      <c r="W109" s="45" t="s">
        <v>905</v>
      </c>
      <c r="X109" s="2"/>
    </row>
    <row r="110" spans="1:24" ht="114.75" x14ac:dyDescent="0.25">
      <c r="A110" s="44" t="str">
        <f t="shared" si="5"/>
        <v/>
      </c>
      <c r="B110" s="2">
        <v>103</v>
      </c>
      <c r="C110" s="35" t="s">
        <v>65</v>
      </c>
      <c r="D110" s="6" t="s">
        <v>1140</v>
      </c>
      <c r="E110" s="26">
        <v>99</v>
      </c>
      <c r="F110" s="6"/>
      <c r="G110" s="40" t="str">
        <f t="shared" si="10"/>
        <v>cD99</v>
      </c>
      <c r="H110" s="40"/>
      <c r="K110" s="5" t="s">
        <v>1262</v>
      </c>
      <c r="L110" s="5" t="s">
        <v>1261</v>
      </c>
      <c r="M110" s="5"/>
      <c r="N110" s="5"/>
      <c r="O110" s="59" t="s">
        <v>441</v>
      </c>
      <c r="P110" s="64" t="s">
        <v>789</v>
      </c>
      <c r="Q110" s="65"/>
      <c r="R110" s="83" t="s">
        <v>590</v>
      </c>
      <c r="S110" s="86" t="s">
        <v>589</v>
      </c>
      <c r="T110" s="5" t="s">
        <v>237</v>
      </c>
      <c r="U110" s="20" t="s">
        <v>65</v>
      </c>
      <c r="V110" s="5" t="s">
        <v>237</v>
      </c>
      <c r="W110" s="45" t="s">
        <v>65</v>
      </c>
      <c r="X110" s="2"/>
    </row>
    <row r="111" spans="1:24" ht="63.75" x14ac:dyDescent="0.25">
      <c r="A111" s="44" t="str">
        <f t="shared" si="5"/>
        <v>...D.01. - Diabetes mellitus</v>
      </c>
      <c r="B111" s="2">
        <v>104</v>
      </c>
      <c r="C111" s="35" t="s">
        <v>66</v>
      </c>
      <c r="D111" s="6" t="s">
        <v>1140</v>
      </c>
      <c r="E111" s="26" t="s">
        <v>1142</v>
      </c>
      <c r="F111" s="6"/>
      <c r="G111" s="40" t="str">
        <f t="shared" si="10"/>
        <v>cD01</v>
      </c>
      <c r="H111" s="40" t="str">
        <f>CONCATENATE(D111,E111,F111)</f>
        <v>D01</v>
      </c>
      <c r="I111" s="5" t="s">
        <v>1301</v>
      </c>
      <c r="J111" s="5" t="s">
        <v>1159</v>
      </c>
      <c r="K111" s="5" t="s">
        <v>1249</v>
      </c>
      <c r="L111" s="49" t="s">
        <v>1330</v>
      </c>
      <c r="M111" s="49" t="s">
        <v>1335</v>
      </c>
      <c r="N111" s="49" t="s">
        <v>1333</v>
      </c>
      <c r="O111" s="59" t="s">
        <v>975</v>
      </c>
      <c r="P111" s="64" t="s">
        <v>790</v>
      </c>
      <c r="Q111" s="65"/>
      <c r="R111" s="83" t="s">
        <v>592</v>
      </c>
      <c r="S111" s="84" t="s">
        <v>591</v>
      </c>
      <c r="T111" s="5" t="s">
        <v>238</v>
      </c>
      <c r="U111" s="20" t="s">
        <v>66</v>
      </c>
      <c r="V111" s="5" t="s">
        <v>238</v>
      </c>
      <c r="W111" s="45" t="s">
        <v>66</v>
      </c>
      <c r="X111" s="2" t="s">
        <v>1334</v>
      </c>
    </row>
    <row r="112" spans="1:24" ht="25.5" x14ac:dyDescent="0.25">
      <c r="A112" s="44" t="str">
        <f t="shared" si="5"/>
        <v>...D.02. - Endocrine, blood, immune disorders</v>
      </c>
      <c r="B112" s="2">
        <v>105</v>
      </c>
      <c r="C112" s="35" t="s">
        <v>67</v>
      </c>
      <c r="D112" s="6" t="s">
        <v>1140</v>
      </c>
      <c r="E112" s="26" t="s">
        <v>1143</v>
      </c>
      <c r="F112" s="6"/>
      <c r="G112" s="40" t="s">
        <v>952</v>
      </c>
      <c r="H112" s="40" t="str">
        <f>CONCATENATE(D112,E112,F112)</f>
        <v>D02</v>
      </c>
      <c r="I112" s="5"/>
      <c r="J112" s="5"/>
      <c r="K112" s="5" t="s">
        <v>1304</v>
      </c>
      <c r="L112" s="19" t="s">
        <v>1305</v>
      </c>
      <c r="M112" s="19"/>
      <c r="N112" s="19"/>
      <c r="O112" s="59" t="s">
        <v>1304</v>
      </c>
      <c r="P112" s="62" t="s">
        <v>1305</v>
      </c>
      <c r="Q112" s="65"/>
      <c r="R112" s="83" t="s">
        <v>684</v>
      </c>
      <c r="S112" s="84" t="s">
        <v>685</v>
      </c>
      <c r="T112" s="5" t="s">
        <v>239</v>
      </c>
      <c r="U112" s="20" t="s">
        <v>67</v>
      </c>
      <c r="V112" s="5" t="s">
        <v>239</v>
      </c>
      <c r="W112" s="45" t="s">
        <v>67</v>
      </c>
      <c r="X112" s="2"/>
    </row>
    <row r="113" spans="1:24" x14ac:dyDescent="0.25">
      <c r="A113" s="44" t="str">
        <f t="shared" si="5"/>
        <v/>
      </c>
      <c r="B113" s="2">
        <v>106</v>
      </c>
      <c r="C113" s="31" t="s">
        <v>717</v>
      </c>
      <c r="D113" s="6" t="s">
        <v>1140</v>
      </c>
      <c r="E113" s="26" t="s">
        <v>1143</v>
      </c>
      <c r="F113" s="6"/>
      <c r="G113" s="40" t="str">
        <f>CONCATENATE("c",D113,E113,F113)</f>
        <v>cD02</v>
      </c>
      <c r="H113" s="40"/>
      <c r="I113" s="5"/>
      <c r="J113" s="5"/>
      <c r="K113" s="5" t="s">
        <v>791</v>
      </c>
      <c r="L113" s="49" t="s">
        <v>791</v>
      </c>
      <c r="M113" s="49"/>
      <c r="N113" s="49"/>
      <c r="O113" s="59" t="s">
        <v>791</v>
      </c>
      <c r="P113" s="64" t="s">
        <v>791</v>
      </c>
      <c r="Q113" s="65"/>
      <c r="R113" s="83" t="s">
        <v>593</v>
      </c>
      <c r="S113" s="85">
        <v>2824</v>
      </c>
      <c r="T113" s="5" t="s">
        <v>240</v>
      </c>
      <c r="U113" s="5" t="s">
        <v>717</v>
      </c>
      <c r="V113" s="5" t="s">
        <v>240</v>
      </c>
      <c r="W113" s="5" t="s">
        <v>717</v>
      </c>
      <c r="X113" s="2"/>
    </row>
    <row r="114" spans="1:24" x14ac:dyDescent="0.25">
      <c r="A114" s="44" t="str">
        <f t="shared" si="5"/>
        <v/>
      </c>
      <c r="B114" s="2">
        <v>107</v>
      </c>
      <c r="C114" s="31" t="s">
        <v>718</v>
      </c>
      <c r="D114" s="6" t="s">
        <v>1140</v>
      </c>
      <c r="E114" s="26" t="s">
        <v>1143</v>
      </c>
      <c r="F114" s="6"/>
      <c r="G114" s="40" t="str">
        <f>CONCATENATE("c",D114,E114,F114)</f>
        <v>cD02</v>
      </c>
      <c r="H114" s="40"/>
      <c r="I114" s="5"/>
      <c r="J114" s="5"/>
      <c r="K114" s="5" t="s">
        <v>792</v>
      </c>
      <c r="L114" s="49" t="s">
        <v>792</v>
      </c>
      <c r="M114" s="49"/>
      <c r="N114" s="49"/>
      <c r="O114" s="59" t="s">
        <v>792</v>
      </c>
      <c r="P114" s="64" t="s">
        <v>792</v>
      </c>
      <c r="Q114" s="65"/>
      <c r="R114" s="83" t="s">
        <v>594</v>
      </c>
      <c r="S114" s="85">
        <v>2826</v>
      </c>
      <c r="T114" s="5" t="s">
        <v>241</v>
      </c>
      <c r="U114" s="5" t="s">
        <v>718</v>
      </c>
      <c r="V114" s="5" t="s">
        <v>241</v>
      </c>
      <c r="W114" s="5" t="s">
        <v>718</v>
      </c>
      <c r="X114" s="2"/>
    </row>
    <row r="115" spans="1:24" ht="25.5" x14ac:dyDescent="0.25">
      <c r="A115" s="44" t="str">
        <f t="shared" si="5"/>
        <v/>
      </c>
      <c r="B115" s="2">
        <v>108</v>
      </c>
      <c r="C115" s="31" t="s">
        <v>719</v>
      </c>
      <c r="D115" s="6" t="s">
        <v>1140</v>
      </c>
      <c r="E115" s="26" t="s">
        <v>1143</v>
      </c>
      <c r="F115" s="6"/>
      <c r="G115" s="40" t="str">
        <f>CONCATENATE("c",D115,E115,F115)</f>
        <v>cD02</v>
      </c>
      <c r="H115" s="40"/>
      <c r="I115" s="5"/>
      <c r="J115" s="5"/>
      <c r="K115" s="5" t="s">
        <v>976</v>
      </c>
      <c r="L115" s="49" t="s">
        <v>793</v>
      </c>
      <c r="M115" s="49"/>
      <c r="N115" s="49"/>
      <c r="O115" s="59" t="s">
        <v>976</v>
      </c>
      <c r="P115" s="64" t="s">
        <v>793</v>
      </c>
      <c r="Q115" s="65"/>
      <c r="R115" s="83" t="s">
        <v>595</v>
      </c>
      <c r="S115" s="83" t="s">
        <v>1105</v>
      </c>
      <c r="T115" s="5" t="s">
        <v>1416</v>
      </c>
      <c r="U115" s="5" t="s">
        <v>719</v>
      </c>
      <c r="V115" s="5" t="s">
        <v>242</v>
      </c>
      <c r="W115" s="5" t="s">
        <v>719</v>
      </c>
      <c r="X115" s="2"/>
    </row>
    <row r="116" spans="1:24" ht="25.5" x14ac:dyDescent="0.25">
      <c r="A116" s="44" t="str">
        <f t="shared" si="5"/>
        <v/>
      </c>
      <c r="B116" s="2">
        <v>109</v>
      </c>
      <c r="C116" s="31" t="s">
        <v>720</v>
      </c>
      <c r="D116" s="6" t="s">
        <v>1140</v>
      </c>
      <c r="E116" s="26" t="s">
        <v>1143</v>
      </c>
      <c r="F116" s="6"/>
      <c r="G116" s="40" t="str">
        <f>CONCATENATE("c",D116,E116,F116)</f>
        <v>cD02</v>
      </c>
      <c r="H116" s="40"/>
      <c r="I116" s="5"/>
      <c r="J116" s="5"/>
      <c r="K116" s="5" t="s">
        <v>977</v>
      </c>
      <c r="L116" s="49" t="s">
        <v>794</v>
      </c>
      <c r="M116" s="49"/>
      <c r="N116" s="49"/>
      <c r="O116" s="59" t="s">
        <v>977</v>
      </c>
      <c r="P116" s="64" t="s">
        <v>794</v>
      </c>
      <c r="Q116" s="65"/>
      <c r="R116" s="83" t="s">
        <v>596</v>
      </c>
      <c r="S116" s="84" t="s">
        <v>1106</v>
      </c>
      <c r="T116" s="5" t="s">
        <v>243</v>
      </c>
      <c r="U116" s="5" t="s">
        <v>720</v>
      </c>
      <c r="V116" s="5" t="s">
        <v>243</v>
      </c>
      <c r="W116" s="5" t="s">
        <v>720</v>
      </c>
      <c r="X116" s="2"/>
    </row>
    <row r="117" spans="1:24" ht="18" x14ac:dyDescent="0.25">
      <c r="A117" s="44" t="str">
        <f t="shared" si="5"/>
        <v/>
      </c>
      <c r="B117" s="2">
        <v>110</v>
      </c>
      <c r="C117" s="30" t="s">
        <v>721</v>
      </c>
      <c r="D117" s="6" t="s">
        <v>952</v>
      </c>
      <c r="E117" s="26" t="s">
        <v>952</v>
      </c>
      <c r="F117" s="6"/>
      <c r="G117" s="40" t="s">
        <v>952</v>
      </c>
      <c r="H117" s="40"/>
      <c r="I117" s="5"/>
      <c r="J117" s="5"/>
      <c r="K117" s="5" t="s">
        <v>952</v>
      </c>
      <c r="L117" s="19" t="s">
        <v>952</v>
      </c>
      <c r="M117" s="19"/>
      <c r="N117" s="19"/>
      <c r="O117" s="59" t="s">
        <v>978</v>
      </c>
      <c r="P117" s="62" t="s">
        <v>795</v>
      </c>
      <c r="Q117" s="63"/>
      <c r="R117" s="83" t="s">
        <v>598</v>
      </c>
      <c r="S117" s="83" t="s">
        <v>597</v>
      </c>
      <c r="T117" s="2" t="s">
        <v>906</v>
      </c>
      <c r="U117" s="20" t="s">
        <v>68</v>
      </c>
      <c r="V117" s="2" t="s">
        <v>906</v>
      </c>
      <c r="W117" s="45" t="s">
        <v>68</v>
      </c>
      <c r="X117" s="2"/>
    </row>
    <row r="118" spans="1:24" ht="25.5" x14ac:dyDescent="0.25">
      <c r="A118" s="44" t="str">
        <f t="shared" si="5"/>
        <v xml:space="preserve">...D.03. - Mental Health disorders </v>
      </c>
      <c r="B118" s="2"/>
      <c r="C118" s="32" t="s">
        <v>1345</v>
      </c>
      <c r="D118" s="6" t="s">
        <v>1140</v>
      </c>
      <c r="E118" s="26" t="s">
        <v>1144</v>
      </c>
      <c r="F118" s="6"/>
      <c r="G118" s="40" t="s">
        <v>952</v>
      </c>
      <c r="H118" s="40" t="str">
        <f>CONCATENATE(D118,E118,F118)</f>
        <v>D03</v>
      </c>
      <c r="I118" s="5"/>
      <c r="J118" s="5"/>
      <c r="K118" s="5"/>
      <c r="L118" s="19"/>
      <c r="M118" s="19"/>
      <c r="N118" s="19"/>
      <c r="O118" s="59"/>
      <c r="P118" s="62"/>
      <c r="Q118" s="63"/>
      <c r="R118" s="83"/>
      <c r="S118" s="83"/>
      <c r="T118" s="2" t="s">
        <v>1347</v>
      </c>
      <c r="U118" s="20"/>
      <c r="V118" s="2" t="s">
        <v>1346</v>
      </c>
      <c r="W118" s="45"/>
      <c r="X118" s="2"/>
    </row>
    <row r="119" spans="1:24" x14ac:dyDescent="0.25">
      <c r="A119" s="44" t="str">
        <f t="shared" si="5"/>
        <v>...D.04. - Substance use disorders</v>
      </c>
      <c r="B119" s="2"/>
      <c r="C119" s="32" t="s">
        <v>1385</v>
      </c>
      <c r="D119" s="6" t="s">
        <v>1140</v>
      </c>
      <c r="E119" s="26" t="s">
        <v>1145</v>
      </c>
      <c r="F119" s="6"/>
      <c r="G119" s="40"/>
      <c r="H119" s="40" t="str">
        <f>CONCATENATE(D119,E119,F119)</f>
        <v>D04</v>
      </c>
      <c r="I119" s="5"/>
      <c r="J119" s="5"/>
      <c r="K119" s="5"/>
      <c r="L119" s="19"/>
      <c r="M119" s="19"/>
      <c r="N119" s="19"/>
      <c r="O119" s="59"/>
      <c r="P119" s="62"/>
      <c r="Q119" s="63"/>
      <c r="R119" s="83"/>
      <c r="S119" s="83"/>
      <c r="T119" s="2" t="s">
        <v>1386</v>
      </c>
      <c r="U119" s="20"/>
      <c r="V119" s="2" t="s">
        <v>1156</v>
      </c>
      <c r="W119" s="45"/>
      <c r="X119" s="2"/>
    </row>
    <row r="120" spans="1:24" x14ac:dyDescent="0.25">
      <c r="A120" s="44" t="str">
        <f t="shared" si="5"/>
        <v/>
      </c>
      <c r="B120" s="2"/>
      <c r="C120" s="35" t="s">
        <v>1130</v>
      </c>
      <c r="D120" s="6"/>
      <c r="E120" s="26"/>
      <c r="F120" s="6"/>
      <c r="G120" s="40"/>
      <c r="H120" s="40"/>
      <c r="I120" s="5"/>
      <c r="J120" s="5"/>
      <c r="K120" s="5"/>
      <c r="L120" s="19"/>
      <c r="M120" s="19"/>
      <c r="N120" s="19"/>
      <c r="O120" s="59"/>
      <c r="P120" s="62"/>
      <c r="Q120" s="63"/>
      <c r="R120" s="83"/>
      <c r="S120" s="83"/>
      <c r="T120" s="2"/>
      <c r="U120" s="20"/>
      <c r="V120" s="2"/>
      <c r="W120" s="45"/>
      <c r="X120" s="2"/>
    </row>
    <row r="121" spans="1:24" x14ac:dyDescent="0.25">
      <c r="A121" s="44" t="str">
        <f t="shared" si="5"/>
        <v/>
      </c>
      <c r="B121" s="2">
        <v>111</v>
      </c>
      <c r="C121" s="36" t="s">
        <v>722</v>
      </c>
      <c r="D121" s="6"/>
      <c r="E121" s="26"/>
      <c r="F121" s="6"/>
      <c r="G121" s="40"/>
      <c r="H121" s="40"/>
      <c r="I121" s="5"/>
      <c r="J121" s="5"/>
      <c r="K121" s="5" t="s">
        <v>952</v>
      </c>
      <c r="L121" s="49" t="s">
        <v>952</v>
      </c>
      <c r="M121" s="49"/>
      <c r="N121" s="49"/>
      <c r="O121" s="59" t="s">
        <v>979</v>
      </c>
      <c r="P121" s="64" t="s">
        <v>796</v>
      </c>
      <c r="Q121" s="65"/>
      <c r="R121" s="83"/>
      <c r="S121" s="83"/>
      <c r="T121" s="2" t="s">
        <v>244</v>
      </c>
      <c r="U121" s="20" t="s">
        <v>244</v>
      </c>
      <c r="V121" s="2" t="s">
        <v>244</v>
      </c>
      <c r="W121" s="45" t="s">
        <v>244</v>
      </c>
      <c r="X121" s="2"/>
    </row>
    <row r="122" spans="1:24" x14ac:dyDescent="0.25">
      <c r="A122" s="44" t="str">
        <f t="shared" si="5"/>
        <v/>
      </c>
      <c r="B122" s="2">
        <v>112</v>
      </c>
      <c r="C122" s="33" t="s">
        <v>723</v>
      </c>
      <c r="D122" s="6" t="s">
        <v>1140</v>
      </c>
      <c r="E122" s="26" t="s">
        <v>1144</v>
      </c>
      <c r="F122" s="6"/>
      <c r="G122" s="40" t="str">
        <f>CONCATENATE("c",D122,E122,F122)</f>
        <v>cD03</v>
      </c>
      <c r="H122" s="40"/>
      <c r="I122" s="5"/>
      <c r="J122" s="5"/>
      <c r="K122" s="5" t="s">
        <v>980</v>
      </c>
      <c r="L122" s="19" t="s">
        <v>797</v>
      </c>
      <c r="M122" s="19" t="s">
        <v>980</v>
      </c>
      <c r="N122" s="19" t="s">
        <v>797</v>
      </c>
      <c r="O122" s="59" t="s">
        <v>980</v>
      </c>
      <c r="P122" s="66" t="s">
        <v>797</v>
      </c>
      <c r="Q122" s="67"/>
      <c r="R122" s="83"/>
      <c r="S122" s="83"/>
      <c r="T122" s="2" t="s">
        <v>245</v>
      </c>
      <c r="U122" s="20" t="s">
        <v>245</v>
      </c>
      <c r="V122" s="2" t="s">
        <v>245</v>
      </c>
      <c r="W122" s="45" t="s">
        <v>245</v>
      </c>
      <c r="X122" s="2"/>
    </row>
    <row r="123" spans="1:24" x14ac:dyDescent="0.25">
      <c r="A123" s="44" t="str">
        <f t="shared" si="5"/>
        <v/>
      </c>
      <c r="B123" s="2">
        <v>113</v>
      </c>
      <c r="C123" s="33" t="s">
        <v>724</v>
      </c>
      <c r="D123" s="6" t="s">
        <v>1140</v>
      </c>
      <c r="E123" s="26" t="s">
        <v>1144</v>
      </c>
      <c r="F123" s="6"/>
      <c r="G123" s="40" t="str">
        <f>CONCATENATE("c",D123,E123,F123)</f>
        <v>cD03</v>
      </c>
      <c r="H123" s="40"/>
      <c r="I123" s="5"/>
      <c r="J123" s="5"/>
      <c r="K123" s="5" t="s">
        <v>981</v>
      </c>
      <c r="L123" s="19" t="s">
        <v>798</v>
      </c>
      <c r="M123" s="19" t="s">
        <v>981</v>
      </c>
      <c r="N123" s="19" t="s">
        <v>798</v>
      </c>
      <c r="O123" s="59" t="s">
        <v>981</v>
      </c>
      <c r="P123" s="62" t="s">
        <v>798</v>
      </c>
      <c r="Q123" s="63"/>
      <c r="R123" s="83"/>
      <c r="S123" s="83"/>
      <c r="T123" s="2" t="s">
        <v>246</v>
      </c>
      <c r="U123" s="20" t="s">
        <v>907</v>
      </c>
      <c r="V123" s="2" t="s">
        <v>246</v>
      </c>
      <c r="W123" s="45" t="s">
        <v>907</v>
      </c>
      <c r="X123" s="2"/>
    </row>
    <row r="124" spans="1:24" x14ac:dyDescent="0.25">
      <c r="A124" s="44" t="str">
        <f t="shared" si="5"/>
        <v/>
      </c>
      <c r="B124" s="2">
        <v>114</v>
      </c>
      <c r="C124" s="36" t="s">
        <v>725</v>
      </c>
      <c r="D124" s="6" t="s">
        <v>1140</v>
      </c>
      <c r="E124" s="26" t="s">
        <v>1144</v>
      </c>
      <c r="F124" s="6"/>
      <c r="G124" s="40" t="str">
        <f>CONCATENATE("c",D124,E124,F124)</f>
        <v>cD03</v>
      </c>
      <c r="H124" s="40"/>
      <c r="I124" s="5"/>
      <c r="J124" s="5"/>
      <c r="K124" s="5" t="s">
        <v>442</v>
      </c>
      <c r="L124" s="49" t="s">
        <v>799</v>
      </c>
      <c r="M124" s="49" t="s">
        <v>442</v>
      </c>
      <c r="N124" s="49" t="s">
        <v>799</v>
      </c>
      <c r="O124" s="59" t="s">
        <v>442</v>
      </c>
      <c r="P124" s="64" t="s">
        <v>799</v>
      </c>
      <c r="Q124" s="65"/>
      <c r="R124" s="83"/>
      <c r="S124" s="83"/>
      <c r="T124" s="5" t="s">
        <v>908</v>
      </c>
      <c r="U124" s="50" t="s">
        <v>725</v>
      </c>
      <c r="V124" s="5" t="s">
        <v>908</v>
      </c>
      <c r="W124" s="51" t="s">
        <v>725</v>
      </c>
      <c r="X124" s="2"/>
    </row>
    <row r="125" spans="1:24" x14ac:dyDescent="0.25">
      <c r="A125" s="44" t="str">
        <f t="shared" si="5"/>
        <v/>
      </c>
      <c r="B125" s="2">
        <v>115</v>
      </c>
      <c r="C125" s="36" t="s">
        <v>69</v>
      </c>
      <c r="D125" s="6" t="s">
        <v>1140</v>
      </c>
      <c r="E125" s="26" t="s">
        <v>1144</v>
      </c>
      <c r="F125" s="6"/>
      <c r="G125" s="40" t="str">
        <f>CONCATENATE("c",D125,E125,F125)</f>
        <v>cD03</v>
      </c>
      <c r="H125" s="40"/>
      <c r="I125" s="5"/>
      <c r="J125" s="5"/>
      <c r="K125" s="5" t="s">
        <v>443</v>
      </c>
      <c r="L125" s="49" t="s">
        <v>1336</v>
      </c>
      <c r="M125" s="49" t="s">
        <v>443</v>
      </c>
      <c r="N125" s="49" t="s">
        <v>1336</v>
      </c>
      <c r="O125" s="59" t="s">
        <v>443</v>
      </c>
      <c r="P125" s="64" t="s">
        <v>754</v>
      </c>
      <c r="Q125" s="65"/>
      <c r="R125" s="83" t="s">
        <v>599</v>
      </c>
      <c r="S125" s="85">
        <v>295</v>
      </c>
      <c r="T125" s="5" t="s">
        <v>247</v>
      </c>
      <c r="U125" s="50" t="s">
        <v>69</v>
      </c>
      <c r="V125" s="5" t="s">
        <v>247</v>
      </c>
      <c r="W125" s="51" t="s">
        <v>69</v>
      </c>
      <c r="X125" s="2"/>
    </row>
    <row r="126" spans="1:24" ht="25.5" x14ac:dyDescent="0.25">
      <c r="A126" s="44" t="str">
        <f t="shared" si="5"/>
        <v>....D.04.a. - Alcohol use disorders</v>
      </c>
      <c r="B126" s="2">
        <v>116</v>
      </c>
      <c r="C126" s="36" t="s">
        <v>70</v>
      </c>
      <c r="D126" s="27" t="s">
        <v>1140</v>
      </c>
      <c r="E126" s="26" t="s">
        <v>1145</v>
      </c>
      <c r="F126" s="6" t="s">
        <v>1126</v>
      </c>
      <c r="G126" s="40" t="str">
        <f>CONCATENATE("c",D126,E126,F126)</f>
        <v>cD04a</v>
      </c>
      <c r="H126" s="40" t="str">
        <f>CONCATENATE(D126,E126,F126)</f>
        <v>D04a</v>
      </c>
      <c r="I126" s="5" t="s">
        <v>1306</v>
      </c>
      <c r="J126" s="5" t="s">
        <v>1232</v>
      </c>
      <c r="K126" s="5" t="s">
        <v>1219</v>
      </c>
      <c r="L126" s="19" t="s">
        <v>1258</v>
      </c>
      <c r="M126" s="19"/>
      <c r="N126" s="19"/>
      <c r="O126" s="59" t="s">
        <v>1313</v>
      </c>
      <c r="P126" s="62" t="s">
        <v>1259</v>
      </c>
      <c r="Q126" s="65"/>
      <c r="R126" s="83" t="s">
        <v>600</v>
      </c>
      <c r="S126" s="83" t="s">
        <v>1096</v>
      </c>
      <c r="T126" s="5" t="s">
        <v>248</v>
      </c>
      <c r="U126" s="50" t="s">
        <v>70</v>
      </c>
      <c r="V126" s="5" t="s">
        <v>248</v>
      </c>
      <c r="W126" s="51" t="s">
        <v>70</v>
      </c>
      <c r="X126" s="2"/>
    </row>
    <row r="127" spans="1:24" ht="16.5" x14ac:dyDescent="0.25">
      <c r="A127" s="44" t="str">
        <f t="shared" si="5"/>
        <v/>
      </c>
      <c r="B127" s="2">
        <v>117</v>
      </c>
      <c r="C127" s="36" t="s">
        <v>71</v>
      </c>
      <c r="D127" s="6"/>
      <c r="E127" s="26"/>
      <c r="F127" s="6"/>
      <c r="G127" s="40"/>
      <c r="H127" s="40"/>
      <c r="I127" s="5"/>
      <c r="J127" s="5"/>
      <c r="K127" s="5" t="s">
        <v>952</v>
      </c>
      <c r="L127" s="49" t="s">
        <v>952</v>
      </c>
      <c r="M127" s="49"/>
      <c r="N127" s="49"/>
      <c r="O127" s="59" t="s">
        <v>982</v>
      </c>
      <c r="P127" s="64" t="s">
        <v>800</v>
      </c>
      <c r="Q127" s="65"/>
      <c r="R127" s="83" t="s">
        <v>601</v>
      </c>
      <c r="S127" s="83" t="s">
        <v>1104</v>
      </c>
      <c r="T127" s="5" t="s">
        <v>249</v>
      </c>
      <c r="U127" s="50" t="s">
        <v>71</v>
      </c>
      <c r="V127" s="5" t="s">
        <v>249</v>
      </c>
      <c r="W127" s="51" t="s">
        <v>71</v>
      </c>
      <c r="X127" s="2"/>
    </row>
    <row r="128" spans="1:24" ht="25.5" x14ac:dyDescent="0.25">
      <c r="A128" s="44" t="str">
        <f t="shared" si="5"/>
        <v>....D.04.b. - Opioid use disorders</v>
      </c>
      <c r="B128" s="2">
        <v>118</v>
      </c>
      <c r="C128" s="33" t="s">
        <v>668</v>
      </c>
      <c r="D128" s="6" t="s">
        <v>1140</v>
      </c>
      <c r="E128" s="26" t="s">
        <v>1145</v>
      </c>
      <c r="F128" s="6" t="s">
        <v>1127</v>
      </c>
      <c r="G128" s="40" t="str">
        <f t="shared" ref="G128:G135" si="11">CONCATENATE("c",D128,E128,F128)</f>
        <v>cD04b</v>
      </c>
      <c r="H128" s="40" t="str">
        <f>CONCATENATE(D128,E128,F128)</f>
        <v>D04b</v>
      </c>
      <c r="I128" s="79" t="s">
        <v>1382</v>
      </c>
      <c r="J128" s="5"/>
      <c r="K128" s="5" t="s">
        <v>1379</v>
      </c>
      <c r="L128" s="49" t="s">
        <v>1379</v>
      </c>
      <c r="M128" s="49"/>
      <c r="N128" s="49"/>
      <c r="O128" s="59" t="s">
        <v>983</v>
      </c>
      <c r="P128" s="64" t="s">
        <v>801</v>
      </c>
      <c r="Q128" s="65"/>
      <c r="R128" s="83" t="s">
        <v>602</v>
      </c>
      <c r="S128" s="83" t="s">
        <v>1099</v>
      </c>
      <c r="T128" s="5" t="s">
        <v>909</v>
      </c>
      <c r="U128" s="5" t="s">
        <v>668</v>
      </c>
      <c r="V128" s="5" t="s">
        <v>909</v>
      </c>
      <c r="W128" s="5" t="s">
        <v>668</v>
      </c>
      <c r="X128" s="2"/>
    </row>
    <row r="129" spans="1:24" x14ac:dyDescent="0.25">
      <c r="A129" s="44" t="str">
        <f t="shared" si="5"/>
        <v>....D.04.c. - Cocaine use disorders</v>
      </c>
      <c r="B129" s="2">
        <v>119</v>
      </c>
      <c r="C129" s="33" t="s">
        <v>669</v>
      </c>
      <c r="D129" s="6" t="s">
        <v>1140</v>
      </c>
      <c r="E129" s="26" t="s">
        <v>1145</v>
      </c>
      <c r="F129" s="28" t="s">
        <v>1129</v>
      </c>
      <c r="G129" s="40" t="str">
        <f t="shared" si="11"/>
        <v>cD04c</v>
      </c>
      <c r="H129" s="40" t="str">
        <f>CONCATENATE(D129,E129,F129)</f>
        <v>D04c</v>
      </c>
      <c r="I129" s="5"/>
      <c r="J129" s="5"/>
      <c r="K129" s="5" t="s">
        <v>802</v>
      </c>
      <c r="L129" s="49" t="s">
        <v>802</v>
      </c>
      <c r="M129" s="49"/>
      <c r="N129" s="49"/>
      <c r="O129" s="59" t="s">
        <v>802</v>
      </c>
      <c r="P129" s="64" t="s">
        <v>802</v>
      </c>
      <c r="Q129" s="65"/>
      <c r="R129" s="83" t="s">
        <v>603</v>
      </c>
      <c r="S129" s="83" t="s">
        <v>1098</v>
      </c>
      <c r="T129" s="5" t="s">
        <v>910</v>
      </c>
      <c r="U129" s="5" t="s">
        <v>669</v>
      </c>
      <c r="V129" s="5" t="s">
        <v>910</v>
      </c>
      <c r="W129" s="5" t="s">
        <v>669</v>
      </c>
      <c r="X129" s="2"/>
    </row>
    <row r="130" spans="1:24" x14ac:dyDescent="0.25">
      <c r="A130" s="44" t="str">
        <f t="shared" si="5"/>
        <v>....D.04.d. - Amphetamine use disorders</v>
      </c>
      <c r="B130" s="2">
        <v>120</v>
      </c>
      <c r="C130" s="33" t="s">
        <v>726</v>
      </c>
      <c r="D130" s="6" t="s">
        <v>1140</v>
      </c>
      <c r="E130" s="26" t="s">
        <v>1145</v>
      </c>
      <c r="F130" s="28" t="s">
        <v>1152</v>
      </c>
      <c r="G130" s="40" t="str">
        <f t="shared" si="11"/>
        <v>cD04d</v>
      </c>
      <c r="H130" s="40" t="str">
        <f>CONCATENATE(D130,E130,F130)</f>
        <v>D04d</v>
      </c>
      <c r="I130" s="5"/>
      <c r="J130" s="5"/>
      <c r="K130" s="5" t="s">
        <v>803</v>
      </c>
      <c r="L130" s="49" t="s">
        <v>803</v>
      </c>
      <c r="M130" s="49"/>
      <c r="N130" s="49"/>
      <c r="O130" s="59" t="s">
        <v>803</v>
      </c>
      <c r="P130" s="64" t="s">
        <v>803</v>
      </c>
      <c r="Q130" s="65"/>
      <c r="R130" s="83" t="s">
        <v>604</v>
      </c>
      <c r="S130" s="83" t="s">
        <v>1097</v>
      </c>
      <c r="T130" s="5" t="s">
        <v>911</v>
      </c>
      <c r="U130" s="5" t="s">
        <v>726</v>
      </c>
      <c r="V130" s="5" t="s">
        <v>911</v>
      </c>
      <c r="W130" s="5" t="s">
        <v>726</v>
      </c>
      <c r="X130" s="2"/>
    </row>
    <row r="131" spans="1:24" x14ac:dyDescent="0.25">
      <c r="A131" s="44" t="str">
        <f t="shared" si="5"/>
        <v/>
      </c>
      <c r="B131" s="2">
        <v>121</v>
      </c>
      <c r="C131" s="33" t="s">
        <v>727</v>
      </c>
      <c r="D131" s="6" t="s">
        <v>1140</v>
      </c>
      <c r="E131" s="26" t="s">
        <v>1145</v>
      </c>
      <c r="F131" s="6"/>
      <c r="G131" s="40" t="str">
        <f t="shared" si="11"/>
        <v>cD04</v>
      </c>
      <c r="H131" s="40"/>
      <c r="J131" s="5"/>
      <c r="K131" s="5" t="s">
        <v>804</v>
      </c>
      <c r="L131" s="49" t="s">
        <v>804</v>
      </c>
      <c r="M131" s="49"/>
      <c r="N131" s="49"/>
      <c r="O131" s="59" t="s">
        <v>804</v>
      </c>
      <c r="P131" s="64" t="s">
        <v>804</v>
      </c>
      <c r="Q131" s="65"/>
      <c r="R131" s="83"/>
      <c r="S131" s="83"/>
      <c r="T131" s="5" t="s">
        <v>912</v>
      </c>
      <c r="U131" s="5" t="s">
        <v>727</v>
      </c>
      <c r="V131" s="5" t="s">
        <v>912</v>
      </c>
      <c r="W131" s="5" t="s">
        <v>727</v>
      </c>
      <c r="X131" s="2"/>
    </row>
    <row r="132" spans="1:24" x14ac:dyDescent="0.25">
      <c r="A132" s="44" t="str">
        <f t="shared" ref="A132:A195" si="12">IF(H132&lt;&gt;"",IF(F132&lt;&gt;"",CONCATENATE("....",D132,".",E132,".",F132,". - ",T132),IF(E132&lt;&gt;"",CONCATENATE("...",D132,".",E132,". - ",T132),CONCATENATE("..",D132,". - ",T132))),"")</f>
        <v/>
      </c>
      <c r="B132" s="2">
        <v>122</v>
      </c>
      <c r="C132" s="33" t="s">
        <v>728</v>
      </c>
      <c r="D132" s="6" t="s">
        <v>1140</v>
      </c>
      <c r="E132" s="26" t="s">
        <v>1145</v>
      </c>
      <c r="F132" s="6"/>
      <c r="G132" s="40" t="str">
        <f t="shared" si="11"/>
        <v>cD04</v>
      </c>
      <c r="H132" s="40"/>
      <c r="I132" s="79" t="s">
        <v>1393</v>
      </c>
      <c r="J132" s="5" t="s">
        <v>1159</v>
      </c>
      <c r="K132" s="5" t="s">
        <v>1383</v>
      </c>
      <c r="L132" s="19" t="s">
        <v>1384</v>
      </c>
      <c r="M132" s="19"/>
      <c r="N132" s="19"/>
      <c r="O132" s="59" t="s">
        <v>984</v>
      </c>
      <c r="P132" s="64" t="s">
        <v>805</v>
      </c>
      <c r="Q132" s="65"/>
      <c r="R132" s="83" t="s">
        <v>605</v>
      </c>
      <c r="S132" s="83" t="s">
        <v>1100</v>
      </c>
      <c r="T132" s="5" t="s">
        <v>913</v>
      </c>
      <c r="U132" s="5" t="s">
        <v>728</v>
      </c>
      <c r="V132" s="5" t="s">
        <v>913</v>
      </c>
      <c r="W132" s="5" t="s">
        <v>728</v>
      </c>
      <c r="X132" s="2" t="s">
        <v>1233</v>
      </c>
    </row>
    <row r="133" spans="1:24" x14ac:dyDescent="0.25">
      <c r="A133" s="44" t="str">
        <f t="shared" si="12"/>
        <v/>
      </c>
      <c r="B133" s="2">
        <v>123</v>
      </c>
      <c r="C133" s="36" t="s">
        <v>72</v>
      </c>
      <c r="D133" s="6" t="s">
        <v>1140</v>
      </c>
      <c r="E133" s="26" t="s">
        <v>1144</v>
      </c>
      <c r="F133" s="6"/>
      <c r="G133" s="40" t="str">
        <f t="shared" si="11"/>
        <v>cD03</v>
      </c>
      <c r="H133" s="40"/>
      <c r="I133" s="5"/>
      <c r="J133" s="5"/>
      <c r="K133" s="5" t="s">
        <v>444</v>
      </c>
      <c r="L133" s="49" t="s">
        <v>806</v>
      </c>
      <c r="M133" s="49"/>
      <c r="N133" s="49"/>
      <c r="O133" s="59" t="s">
        <v>444</v>
      </c>
      <c r="P133" s="64" t="s">
        <v>806</v>
      </c>
      <c r="Q133" s="65"/>
      <c r="R133" s="83"/>
      <c r="S133" s="83"/>
      <c r="T133" s="5" t="s">
        <v>250</v>
      </c>
      <c r="U133" s="50" t="s">
        <v>72</v>
      </c>
      <c r="V133" s="5" t="s">
        <v>250</v>
      </c>
      <c r="W133" s="51" t="s">
        <v>72</v>
      </c>
      <c r="X133" s="2"/>
    </row>
    <row r="134" spans="1:24" x14ac:dyDescent="0.25">
      <c r="A134" s="44" t="str">
        <f t="shared" si="12"/>
        <v/>
      </c>
      <c r="B134" s="2">
        <v>124</v>
      </c>
      <c r="C134" s="36" t="s">
        <v>73</v>
      </c>
      <c r="D134" s="6" t="s">
        <v>1140</v>
      </c>
      <c r="E134" s="26" t="s">
        <v>1144</v>
      </c>
      <c r="F134" s="6"/>
      <c r="G134" s="40" t="str">
        <f t="shared" si="11"/>
        <v>cD03</v>
      </c>
      <c r="H134" s="40"/>
      <c r="I134" s="5"/>
      <c r="J134" s="5"/>
      <c r="K134" s="5" t="s">
        <v>445</v>
      </c>
      <c r="L134" s="49" t="s">
        <v>445</v>
      </c>
      <c r="M134" s="49"/>
      <c r="N134" s="49"/>
      <c r="O134" s="59" t="s">
        <v>445</v>
      </c>
      <c r="P134" s="64" t="s">
        <v>445</v>
      </c>
      <c r="Q134" s="65"/>
      <c r="R134" s="83" t="s">
        <v>606</v>
      </c>
      <c r="S134" s="83" t="s">
        <v>1051</v>
      </c>
      <c r="T134" s="5" t="s">
        <v>251</v>
      </c>
      <c r="U134" s="50" t="s">
        <v>73</v>
      </c>
      <c r="V134" s="5" t="s">
        <v>251</v>
      </c>
      <c r="W134" s="51" t="s">
        <v>73</v>
      </c>
      <c r="X134" s="2"/>
    </row>
    <row r="135" spans="1:24" x14ac:dyDescent="0.25">
      <c r="A135" s="44" t="str">
        <f t="shared" si="12"/>
        <v/>
      </c>
      <c r="B135" s="2">
        <v>125</v>
      </c>
      <c r="C135" s="36" t="s">
        <v>729</v>
      </c>
      <c r="D135" s="6" t="s">
        <v>1140</v>
      </c>
      <c r="E135" s="26" t="s">
        <v>1144</v>
      </c>
      <c r="F135" s="6"/>
      <c r="G135" s="40" t="str">
        <f t="shared" si="11"/>
        <v>cD03</v>
      </c>
      <c r="H135" s="40"/>
      <c r="I135" s="5"/>
      <c r="J135" s="5"/>
      <c r="K135" s="5" t="s">
        <v>807</v>
      </c>
      <c r="L135" s="49" t="s">
        <v>807</v>
      </c>
      <c r="M135" s="49"/>
      <c r="N135" s="49"/>
      <c r="O135" s="59" t="s">
        <v>807</v>
      </c>
      <c r="P135" s="64" t="s">
        <v>807</v>
      </c>
      <c r="Q135" s="65"/>
      <c r="R135" s="83"/>
      <c r="S135" s="83"/>
      <c r="T135" s="5" t="s">
        <v>1406</v>
      </c>
      <c r="U135" s="5" t="s">
        <v>918</v>
      </c>
      <c r="V135" s="5" t="s">
        <v>914</v>
      </c>
      <c r="W135" s="5" t="s">
        <v>918</v>
      </c>
      <c r="X135" s="2"/>
    </row>
    <row r="136" spans="1:24" x14ac:dyDescent="0.25">
      <c r="A136" s="44" t="str">
        <f t="shared" si="12"/>
        <v/>
      </c>
      <c r="B136" s="2">
        <v>126</v>
      </c>
      <c r="C136" s="36" t="s">
        <v>74</v>
      </c>
      <c r="D136" s="6"/>
      <c r="E136" s="26"/>
      <c r="F136" s="6"/>
      <c r="G136" s="40"/>
      <c r="H136" s="40"/>
      <c r="I136" s="5"/>
      <c r="J136" s="5"/>
      <c r="K136" s="5" t="s">
        <v>952</v>
      </c>
      <c r="L136" s="49" t="s">
        <v>952</v>
      </c>
      <c r="M136" s="49"/>
      <c r="N136" s="49"/>
      <c r="O136" s="59" t="s">
        <v>985</v>
      </c>
      <c r="P136" s="64" t="s">
        <v>808</v>
      </c>
      <c r="Q136" s="65"/>
      <c r="R136" s="83"/>
      <c r="S136" s="83"/>
      <c r="T136" s="5" t="s">
        <v>1407</v>
      </c>
      <c r="U136" s="5" t="s">
        <v>74</v>
      </c>
      <c r="V136" s="5" t="s">
        <v>915</v>
      </c>
      <c r="W136" s="5" t="s">
        <v>74</v>
      </c>
      <c r="X136" s="2"/>
    </row>
    <row r="137" spans="1:24" x14ac:dyDescent="0.25">
      <c r="A137" s="44" t="str">
        <f t="shared" si="12"/>
        <v/>
      </c>
      <c r="B137" s="2">
        <v>127</v>
      </c>
      <c r="C137" s="33" t="s">
        <v>730</v>
      </c>
      <c r="D137" s="6" t="s">
        <v>1140</v>
      </c>
      <c r="E137" s="26" t="s">
        <v>1144</v>
      </c>
      <c r="F137" s="6"/>
      <c r="G137" s="40" t="str">
        <f>CONCATENATE("c",D137,E137,F137)</f>
        <v>cD03</v>
      </c>
      <c r="H137" s="40"/>
      <c r="I137" s="5"/>
      <c r="J137" s="5"/>
      <c r="K137" s="5" t="s">
        <v>809</v>
      </c>
      <c r="L137" s="49" t="s">
        <v>809</v>
      </c>
      <c r="M137" s="49"/>
      <c r="N137" s="49"/>
      <c r="O137" s="59" t="s">
        <v>809</v>
      </c>
      <c r="P137" s="64" t="s">
        <v>809</v>
      </c>
      <c r="Q137" s="65"/>
      <c r="R137" s="83"/>
      <c r="S137" s="83"/>
      <c r="T137" s="5" t="s">
        <v>916</v>
      </c>
      <c r="U137" s="5" t="s">
        <v>730</v>
      </c>
      <c r="V137" s="5" t="s">
        <v>916</v>
      </c>
      <c r="W137" s="5" t="s">
        <v>730</v>
      </c>
      <c r="X137" s="2"/>
    </row>
    <row r="138" spans="1:24" x14ac:dyDescent="0.25">
      <c r="A138" s="44" t="str">
        <f t="shared" si="12"/>
        <v/>
      </c>
      <c r="B138" s="2">
        <v>128</v>
      </c>
      <c r="C138" s="33" t="s">
        <v>731</v>
      </c>
      <c r="D138" s="6" t="s">
        <v>1140</v>
      </c>
      <c r="E138" s="26" t="s">
        <v>1144</v>
      </c>
      <c r="F138" s="6"/>
      <c r="G138" s="40" t="str">
        <f>CONCATENATE("c",D138,E138,F138)</f>
        <v>cD03</v>
      </c>
      <c r="H138" s="40"/>
      <c r="I138" s="5"/>
      <c r="J138" s="5"/>
      <c r="K138" s="5" t="s">
        <v>986</v>
      </c>
      <c r="L138" s="49" t="s">
        <v>810</v>
      </c>
      <c r="M138" s="49"/>
      <c r="N138" s="49"/>
      <c r="O138" s="59" t="s">
        <v>986</v>
      </c>
      <c r="P138" s="64" t="s">
        <v>810</v>
      </c>
      <c r="Q138" s="65"/>
      <c r="R138" s="83"/>
      <c r="S138" s="83"/>
      <c r="T138" s="5" t="s">
        <v>917</v>
      </c>
      <c r="U138" s="5" t="s">
        <v>731</v>
      </c>
      <c r="V138" s="5" t="s">
        <v>917</v>
      </c>
      <c r="W138" s="5" t="s">
        <v>731</v>
      </c>
      <c r="X138" s="2"/>
    </row>
    <row r="139" spans="1:24" x14ac:dyDescent="0.25">
      <c r="A139" s="44" t="str">
        <f t="shared" si="12"/>
        <v/>
      </c>
      <c r="B139" s="2">
        <v>129</v>
      </c>
      <c r="C139" s="36" t="s">
        <v>75</v>
      </c>
      <c r="D139" s="6" t="s">
        <v>1140</v>
      </c>
      <c r="E139" s="26" t="s">
        <v>1144</v>
      </c>
      <c r="F139" s="6"/>
      <c r="G139" s="40" t="str">
        <f>CONCATENATE("c",D139,E139,F139)</f>
        <v>cD03</v>
      </c>
      <c r="H139" s="40"/>
      <c r="I139" s="5"/>
      <c r="J139" s="5"/>
      <c r="K139" s="5" t="s">
        <v>446</v>
      </c>
      <c r="L139" s="49" t="s">
        <v>811</v>
      </c>
      <c r="M139" s="49"/>
      <c r="N139" s="49"/>
      <c r="O139" s="59" t="s">
        <v>446</v>
      </c>
      <c r="P139" s="64" t="s">
        <v>811</v>
      </c>
      <c r="Q139" s="65"/>
      <c r="R139" s="83"/>
      <c r="S139" s="83"/>
      <c r="T139" s="5" t="s">
        <v>252</v>
      </c>
      <c r="U139" s="50" t="s">
        <v>75</v>
      </c>
      <c r="V139" s="5" t="s">
        <v>252</v>
      </c>
      <c r="W139" s="51" t="s">
        <v>75</v>
      </c>
      <c r="X139" s="2"/>
    </row>
    <row r="140" spans="1:24" ht="33" x14ac:dyDescent="0.25">
      <c r="A140" s="44" t="str">
        <f t="shared" si="12"/>
        <v/>
      </c>
      <c r="B140" s="2">
        <v>130</v>
      </c>
      <c r="C140" s="31" t="s">
        <v>76</v>
      </c>
      <c r="D140" s="6" t="s">
        <v>1140</v>
      </c>
      <c r="E140" s="26" t="s">
        <v>1144</v>
      </c>
      <c r="F140" s="6"/>
      <c r="G140" s="40" t="str">
        <f>CONCATENATE("c",D140,E140,F140)</f>
        <v>cD03</v>
      </c>
      <c r="H140" s="40"/>
      <c r="I140" s="5"/>
      <c r="J140" s="5"/>
      <c r="K140" s="5" t="s">
        <v>987</v>
      </c>
      <c r="L140" s="49" t="s">
        <v>812</v>
      </c>
      <c r="M140" s="49"/>
      <c r="N140" s="49"/>
      <c r="O140" s="59" t="s">
        <v>987</v>
      </c>
      <c r="P140" s="64" t="s">
        <v>812</v>
      </c>
      <c r="Q140" s="65"/>
      <c r="R140" s="83"/>
      <c r="S140" s="83"/>
      <c r="T140" s="5" t="s">
        <v>1408</v>
      </c>
      <c r="U140" s="20" t="s">
        <v>76</v>
      </c>
      <c r="V140" s="5" t="s">
        <v>253</v>
      </c>
      <c r="W140" s="45" t="s">
        <v>76</v>
      </c>
      <c r="X140" s="2"/>
    </row>
    <row r="141" spans="1:24" x14ac:dyDescent="0.25">
      <c r="A141" s="44" t="str">
        <f t="shared" si="12"/>
        <v/>
      </c>
      <c r="B141" s="2">
        <v>131</v>
      </c>
      <c r="C141" s="35" t="s">
        <v>77</v>
      </c>
      <c r="D141" s="6" t="s">
        <v>952</v>
      </c>
      <c r="E141" s="26" t="s">
        <v>952</v>
      </c>
      <c r="F141" s="6"/>
      <c r="G141" s="40"/>
      <c r="H141" s="40"/>
      <c r="I141" s="5"/>
      <c r="J141" s="5"/>
      <c r="K141" s="5" t="s">
        <v>952</v>
      </c>
      <c r="L141" s="19" t="s">
        <v>952</v>
      </c>
      <c r="M141" s="19"/>
      <c r="N141" s="19"/>
      <c r="O141" s="59" t="s">
        <v>447</v>
      </c>
      <c r="P141" s="62" t="s">
        <v>813</v>
      </c>
      <c r="Q141" s="63"/>
      <c r="R141" s="83" t="s">
        <v>608</v>
      </c>
      <c r="S141" s="83" t="s">
        <v>683</v>
      </c>
      <c r="T141" s="2" t="s">
        <v>254</v>
      </c>
      <c r="U141" s="20" t="s">
        <v>77</v>
      </c>
      <c r="V141" s="2" t="s">
        <v>254</v>
      </c>
      <c r="W141" s="45" t="s">
        <v>77</v>
      </c>
      <c r="X141" s="2" t="s">
        <v>607</v>
      </c>
    </row>
    <row r="142" spans="1:24" x14ac:dyDescent="0.25">
      <c r="A142" s="44" t="str">
        <f t="shared" si="12"/>
        <v>...D.05. - Alzheimer’s disease and other dementias</v>
      </c>
      <c r="B142" s="2">
        <v>132</v>
      </c>
      <c r="C142" s="31" t="s">
        <v>732</v>
      </c>
      <c r="D142" s="6" t="s">
        <v>1140</v>
      </c>
      <c r="E142" s="26" t="s">
        <v>1146</v>
      </c>
      <c r="F142" s="6"/>
      <c r="G142" s="40" t="str">
        <f t="shared" ref="G142:G148" si="13">CONCATENATE("c",D142,E142,F142)</f>
        <v>cD05</v>
      </c>
      <c r="H142" s="40" t="str">
        <f>CONCATENATE(D142,E142,F142)</f>
        <v>D05</v>
      </c>
      <c r="I142" s="5"/>
      <c r="J142" s="5"/>
      <c r="K142" s="5" t="s">
        <v>448</v>
      </c>
      <c r="L142" s="49" t="s">
        <v>814</v>
      </c>
      <c r="M142" s="49"/>
      <c r="N142" s="49"/>
      <c r="O142" s="59" t="s">
        <v>448</v>
      </c>
      <c r="P142" s="64" t="s">
        <v>814</v>
      </c>
      <c r="Q142" s="65"/>
      <c r="R142" s="83" t="s">
        <v>609</v>
      </c>
      <c r="S142" s="83" t="s">
        <v>1095</v>
      </c>
      <c r="T142" s="5" t="s">
        <v>255</v>
      </c>
      <c r="U142" s="20" t="s">
        <v>78</v>
      </c>
      <c r="V142" s="5" t="s">
        <v>255</v>
      </c>
      <c r="W142" s="45" t="s">
        <v>78</v>
      </c>
      <c r="X142" s="2"/>
    </row>
    <row r="143" spans="1:24" x14ac:dyDescent="0.25">
      <c r="A143" s="44" t="str">
        <f t="shared" si="12"/>
        <v/>
      </c>
      <c r="B143" s="2">
        <v>133</v>
      </c>
      <c r="C143" s="36" t="s">
        <v>79</v>
      </c>
      <c r="D143" s="6" t="s">
        <v>1140</v>
      </c>
      <c r="E143" s="26" t="s">
        <v>1147</v>
      </c>
      <c r="F143" s="6"/>
      <c r="G143" s="40" t="str">
        <f t="shared" si="13"/>
        <v>cD06</v>
      </c>
      <c r="H143" s="40"/>
      <c r="I143" s="5"/>
      <c r="J143" s="5"/>
      <c r="K143" s="5" t="s">
        <v>449</v>
      </c>
      <c r="L143" s="49" t="s">
        <v>815</v>
      </c>
      <c r="M143" s="49"/>
      <c r="N143" s="49"/>
      <c r="O143" s="59" t="s">
        <v>449</v>
      </c>
      <c r="P143" s="64" t="s">
        <v>815</v>
      </c>
      <c r="Q143" s="65"/>
      <c r="R143" s="83" t="s">
        <v>610</v>
      </c>
      <c r="S143" s="85">
        <v>332</v>
      </c>
      <c r="T143" s="5" t="s">
        <v>256</v>
      </c>
      <c r="U143" s="50" t="s">
        <v>79</v>
      </c>
      <c r="V143" s="5" t="s">
        <v>256</v>
      </c>
      <c r="W143" s="51" t="s">
        <v>79</v>
      </c>
      <c r="X143" s="2"/>
    </row>
    <row r="144" spans="1:24" x14ac:dyDescent="0.25">
      <c r="A144" s="44" t="str">
        <f t="shared" si="12"/>
        <v/>
      </c>
      <c r="B144" s="2">
        <v>134</v>
      </c>
      <c r="C144" s="36" t="s">
        <v>80</v>
      </c>
      <c r="D144" s="6" t="s">
        <v>1140</v>
      </c>
      <c r="E144" s="26" t="s">
        <v>1147</v>
      </c>
      <c r="F144" s="6"/>
      <c r="G144" s="40" t="str">
        <f t="shared" si="13"/>
        <v>cD06</v>
      </c>
      <c r="H144" s="40"/>
      <c r="I144" s="5"/>
      <c r="J144" s="5"/>
      <c r="K144" s="5" t="s">
        <v>450</v>
      </c>
      <c r="L144" s="49" t="s">
        <v>816</v>
      </c>
      <c r="M144" s="49"/>
      <c r="N144" s="49"/>
      <c r="O144" s="59" t="s">
        <v>450</v>
      </c>
      <c r="P144" s="64" t="s">
        <v>816</v>
      </c>
      <c r="Q144" s="65"/>
      <c r="R144" s="83" t="s">
        <v>611</v>
      </c>
      <c r="S144" s="85">
        <v>345</v>
      </c>
      <c r="T144" s="5" t="s">
        <v>257</v>
      </c>
      <c r="U144" s="50" t="s">
        <v>80</v>
      </c>
      <c r="V144" s="5" t="s">
        <v>257</v>
      </c>
      <c r="W144" s="51" t="s">
        <v>80</v>
      </c>
      <c r="X144" s="2"/>
    </row>
    <row r="145" spans="1:24" x14ac:dyDescent="0.25">
      <c r="A145" s="44" t="str">
        <f t="shared" si="12"/>
        <v/>
      </c>
      <c r="B145" s="2">
        <v>135</v>
      </c>
      <c r="C145" s="36" t="s">
        <v>81</v>
      </c>
      <c r="D145" s="6" t="s">
        <v>1140</v>
      </c>
      <c r="E145" s="26" t="s">
        <v>1147</v>
      </c>
      <c r="F145" s="6"/>
      <c r="G145" s="40" t="str">
        <f t="shared" si="13"/>
        <v>cD06</v>
      </c>
      <c r="H145" s="40"/>
      <c r="I145" s="5"/>
      <c r="J145" s="5"/>
      <c r="K145" s="5" t="s">
        <v>451</v>
      </c>
      <c r="L145" s="49" t="s">
        <v>451</v>
      </c>
      <c r="M145" s="49"/>
      <c r="N145" s="49"/>
      <c r="O145" s="59" t="s">
        <v>451</v>
      </c>
      <c r="P145" s="64" t="s">
        <v>451</v>
      </c>
      <c r="Q145" s="65"/>
      <c r="R145" s="83" t="s">
        <v>612</v>
      </c>
      <c r="S145" s="85">
        <v>340</v>
      </c>
      <c r="T145" s="5" t="s">
        <v>258</v>
      </c>
      <c r="U145" s="50" t="s">
        <v>81</v>
      </c>
      <c r="V145" s="5" t="s">
        <v>258</v>
      </c>
      <c r="W145" s="51" t="s">
        <v>81</v>
      </c>
      <c r="X145" s="2"/>
    </row>
    <row r="146" spans="1:24" x14ac:dyDescent="0.25">
      <c r="A146" s="44" t="str">
        <f t="shared" si="12"/>
        <v/>
      </c>
      <c r="B146" s="2">
        <v>136</v>
      </c>
      <c r="C146" s="36" t="s">
        <v>82</v>
      </c>
      <c r="D146" s="6" t="s">
        <v>1140</v>
      </c>
      <c r="E146" s="26" t="s">
        <v>1147</v>
      </c>
      <c r="F146" s="6"/>
      <c r="G146" s="40" t="str">
        <f t="shared" si="13"/>
        <v>cD06</v>
      </c>
      <c r="H146" s="40"/>
      <c r="I146" s="5"/>
      <c r="J146" s="5"/>
      <c r="K146" s="5" t="s">
        <v>452</v>
      </c>
      <c r="L146" s="49" t="s">
        <v>452</v>
      </c>
      <c r="M146" s="49"/>
      <c r="N146" s="49"/>
      <c r="O146" s="59" t="s">
        <v>452</v>
      </c>
      <c r="P146" s="64" t="s">
        <v>452</v>
      </c>
      <c r="Q146" s="65"/>
      <c r="R146" s="83"/>
      <c r="S146" s="83"/>
      <c r="T146" s="5" t="s">
        <v>259</v>
      </c>
      <c r="U146" s="50" t="s">
        <v>82</v>
      </c>
      <c r="V146" s="5" t="s">
        <v>259</v>
      </c>
      <c r="W146" s="51" t="s">
        <v>82</v>
      </c>
      <c r="X146" s="2"/>
    </row>
    <row r="147" spans="1:24" x14ac:dyDescent="0.25">
      <c r="A147" s="44" t="str">
        <f t="shared" si="12"/>
        <v/>
      </c>
      <c r="B147" s="2">
        <v>137</v>
      </c>
      <c r="C147" s="36" t="s">
        <v>83</v>
      </c>
      <c r="D147" s="6" t="s">
        <v>1140</v>
      </c>
      <c r="E147" s="26" t="s">
        <v>1147</v>
      </c>
      <c r="F147" s="6"/>
      <c r="G147" s="40" t="str">
        <f t="shared" si="13"/>
        <v>cD06</v>
      </c>
      <c r="H147" s="40"/>
      <c r="I147" s="5"/>
      <c r="J147" s="5"/>
      <c r="K147" s="5" t="s">
        <v>453</v>
      </c>
      <c r="L147" s="49" t="s">
        <v>453</v>
      </c>
      <c r="M147" s="49"/>
      <c r="N147" s="49"/>
      <c r="O147" s="59" t="s">
        <v>453</v>
      </c>
      <c r="P147" s="64" t="s">
        <v>453</v>
      </c>
      <c r="Q147" s="65"/>
      <c r="R147" s="83"/>
      <c r="S147" s="83"/>
      <c r="T147" s="5" t="s">
        <v>260</v>
      </c>
      <c r="U147" s="50" t="s">
        <v>83</v>
      </c>
      <c r="V147" s="5" t="s">
        <v>260</v>
      </c>
      <c r="W147" s="51" t="s">
        <v>83</v>
      </c>
      <c r="X147" s="2"/>
    </row>
    <row r="148" spans="1:24" ht="51" x14ac:dyDescent="0.25">
      <c r="A148" s="44" t="str">
        <f t="shared" si="12"/>
        <v>...D.06. - Other neurological conditions</v>
      </c>
      <c r="B148" s="2">
        <v>138</v>
      </c>
      <c r="C148" s="36" t="s">
        <v>84</v>
      </c>
      <c r="D148" s="6" t="s">
        <v>1140</v>
      </c>
      <c r="E148" s="26" t="s">
        <v>1147</v>
      </c>
      <c r="F148" s="6"/>
      <c r="G148" s="40" t="str">
        <f t="shared" si="13"/>
        <v>cD06</v>
      </c>
      <c r="H148" s="40" t="str">
        <f>CONCATENATE(D148,E148,F148)</f>
        <v>D06</v>
      </c>
      <c r="I148" s="57" t="s">
        <v>1312</v>
      </c>
      <c r="J148" s="18" t="s">
        <v>1159</v>
      </c>
      <c r="K148" s="5" t="s">
        <v>1199</v>
      </c>
      <c r="L148" s="58" t="s">
        <v>1311</v>
      </c>
      <c r="M148" s="58"/>
      <c r="N148" s="58"/>
      <c r="O148" s="59" t="s">
        <v>454</v>
      </c>
      <c r="P148" s="64" t="s">
        <v>817</v>
      </c>
      <c r="Q148" s="65"/>
      <c r="R148" s="83" t="s">
        <v>613</v>
      </c>
      <c r="S148" s="83" t="s">
        <v>1103</v>
      </c>
      <c r="T148" s="5" t="s">
        <v>261</v>
      </c>
      <c r="U148" s="50" t="s">
        <v>84</v>
      </c>
      <c r="V148" s="5" t="s">
        <v>261</v>
      </c>
      <c r="W148" s="51" t="s">
        <v>84</v>
      </c>
      <c r="X148" s="2"/>
    </row>
    <row r="149" spans="1:24" x14ac:dyDescent="0.25">
      <c r="A149" s="44" t="str">
        <f t="shared" si="12"/>
        <v/>
      </c>
      <c r="B149" s="2">
        <v>139</v>
      </c>
      <c r="C149" s="35" t="s">
        <v>85</v>
      </c>
      <c r="D149" s="6" t="s">
        <v>952</v>
      </c>
      <c r="E149" s="26" t="s">
        <v>952</v>
      </c>
      <c r="F149" s="6"/>
      <c r="G149" s="40"/>
      <c r="H149" s="40"/>
      <c r="I149" s="5"/>
      <c r="J149" s="5"/>
      <c r="K149" s="5" t="s">
        <v>952</v>
      </c>
      <c r="L149" s="19" t="s">
        <v>952</v>
      </c>
      <c r="M149" s="19"/>
      <c r="N149" s="19"/>
      <c r="O149" s="59" t="s">
        <v>455</v>
      </c>
      <c r="P149" s="62" t="s">
        <v>818</v>
      </c>
      <c r="Q149" s="63"/>
      <c r="R149" s="83"/>
      <c r="S149" s="84"/>
      <c r="T149" s="2" t="s">
        <v>262</v>
      </c>
      <c r="U149" s="20" t="s">
        <v>85</v>
      </c>
      <c r="V149" s="2" t="s">
        <v>262</v>
      </c>
      <c r="W149" s="45" t="s">
        <v>85</v>
      </c>
      <c r="X149" s="2" t="s">
        <v>614</v>
      </c>
    </row>
    <row r="150" spans="1:24" x14ac:dyDescent="0.25">
      <c r="A150" s="44" t="str">
        <f t="shared" si="12"/>
        <v/>
      </c>
      <c r="B150" s="2">
        <v>140</v>
      </c>
      <c r="C150" s="31" t="s">
        <v>86</v>
      </c>
      <c r="D150" s="6" t="s">
        <v>1140</v>
      </c>
      <c r="E150" s="26">
        <v>99</v>
      </c>
      <c r="F150" s="6"/>
      <c r="G150" s="40" t="str">
        <f t="shared" ref="G150:G156" si="14">CONCATENATE("c",D150,E150,F150)</f>
        <v>cD99</v>
      </c>
      <c r="H150" s="40"/>
      <c r="I150" s="5"/>
      <c r="J150" s="5"/>
      <c r="K150" s="5" t="s">
        <v>456</v>
      </c>
      <c r="L150" s="49" t="s">
        <v>456</v>
      </c>
      <c r="M150" s="49"/>
      <c r="N150" s="49"/>
      <c r="O150" s="59" t="s">
        <v>456</v>
      </c>
      <c r="P150" s="64" t="s">
        <v>456</v>
      </c>
      <c r="Q150" s="65"/>
      <c r="R150" s="83"/>
      <c r="S150" s="83"/>
      <c r="T150" s="5" t="s">
        <v>263</v>
      </c>
      <c r="U150" s="52" t="s">
        <v>86</v>
      </c>
      <c r="V150" s="5" t="s">
        <v>263</v>
      </c>
      <c r="W150" s="53" t="s">
        <v>86</v>
      </c>
      <c r="X150" s="2"/>
    </row>
    <row r="151" spans="1:24" x14ac:dyDescent="0.25">
      <c r="A151" s="44" t="str">
        <f t="shared" si="12"/>
        <v/>
      </c>
      <c r="B151" s="2">
        <v>141</v>
      </c>
      <c r="C151" s="31" t="s">
        <v>87</v>
      </c>
      <c r="D151" s="6" t="s">
        <v>1140</v>
      </c>
      <c r="E151" s="26">
        <v>99</v>
      </c>
      <c r="F151" s="6"/>
      <c r="G151" s="40" t="str">
        <f t="shared" si="14"/>
        <v>cD99</v>
      </c>
      <c r="H151" s="40"/>
      <c r="I151" s="5"/>
      <c r="J151" s="5"/>
      <c r="K151" s="5" t="s">
        <v>457</v>
      </c>
      <c r="L151" s="49" t="s">
        <v>819</v>
      </c>
      <c r="M151" s="49"/>
      <c r="N151" s="49"/>
      <c r="O151" s="59" t="s">
        <v>457</v>
      </c>
      <c r="P151" s="64" t="s">
        <v>819</v>
      </c>
      <c r="Q151" s="65"/>
      <c r="R151" s="83"/>
      <c r="S151" s="83"/>
      <c r="T151" s="5" t="s">
        <v>264</v>
      </c>
      <c r="U151" s="52" t="s">
        <v>87</v>
      </c>
      <c r="V151" s="5" t="s">
        <v>264</v>
      </c>
      <c r="W151" s="53" t="s">
        <v>87</v>
      </c>
      <c r="X151" s="2"/>
    </row>
    <row r="152" spans="1:24" x14ac:dyDescent="0.25">
      <c r="A152" s="44" t="str">
        <f t="shared" si="12"/>
        <v/>
      </c>
      <c r="B152" s="2">
        <v>142</v>
      </c>
      <c r="C152" s="31" t="s">
        <v>733</v>
      </c>
      <c r="D152" s="6" t="s">
        <v>1140</v>
      </c>
      <c r="E152" s="26">
        <v>99</v>
      </c>
      <c r="F152" s="6"/>
      <c r="G152" s="40" t="str">
        <f t="shared" si="14"/>
        <v>cD99</v>
      </c>
      <c r="H152" s="40"/>
      <c r="I152" s="5"/>
      <c r="J152" s="5"/>
      <c r="K152" s="5" t="s">
        <v>458</v>
      </c>
      <c r="L152" s="49" t="s">
        <v>820</v>
      </c>
      <c r="M152" s="49"/>
      <c r="N152" s="49"/>
      <c r="O152" s="59" t="s">
        <v>458</v>
      </c>
      <c r="P152" s="64" t="s">
        <v>820</v>
      </c>
      <c r="Q152" s="65"/>
      <c r="R152" s="83"/>
      <c r="S152" s="83"/>
      <c r="T152" s="5" t="s">
        <v>265</v>
      </c>
      <c r="U152" s="52" t="s">
        <v>88</v>
      </c>
      <c r="V152" s="5" t="s">
        <v>265</v>
      </c>
      <c r="W152" s="53" t="s">
        <v>88</v>
      </c>
      <c r="X152" s="2"/>
    </row>
    <row r="153" spans="1:24" x14ac:dyDescent="0.25">
      <c r="A153" s="44" t="str">
        <f t="shared" si="12"/>
        <v/>
      </c>
      <c r="B153" s="2">
        <v>143</v>
      </c>
      <c r="C153" s="31" t="s">
        <v>89</v>
      </c>
      <c r="D153" s="6" t="s">
        <v>1140</v>
      </c>
      <c r="E153" s="26">
        <v>99</v>
      </c>
      <c r="F153" s="6"/>
      <c r="G153" s="40" t="str">
        <f t="shared" si="14"/>
        <v>cD99</v>
      </c>
      <c r="H153" s="40"/>
      <c r="I153" s="5"/>
      <c r="J153" s="5"/>
      <c r="K153" s="5" t="s">
        <v>459</v>
      </c>
      <c r="L153" s="49" t="s">
        <v>821</v>
      </c>
      <c r="M153" s="49"/>
      <c r="N153" s="49"/>
      <c r="O153" s="59" t="s">
        <v>459</v>
      </c>
      <c r="P153" s="64" t="s">
        <v>821</v>
      </c>
      <c r="Q153" s="65"/>
      <c r="R153" s="83"/>
      <c r="S153" s="83"/>
      <c r="T153" s="5" t="s">
        <v>266</v>
      </c>
      <c r="U153" s="52" t="s">
        <v>89</v>
      </c>
      <c r="V153" s="5" t="s">
        <v>266</v>
      </c>
      <c r="W153" s="53" t="s">
        <v>89</v>
      </c>
      <c r="X153" s="2"/>
    </row>
    <row r="154" spans="1:24" ht="16.5" x14ac:dyDescent="0.25">
      <c r="A154" s="44" t="str">
        <f t="shared" si="12"/>
        <v/>
      </c>
      <c r="B154" s="2">
        <v>144</v>
      </c>
      <c r="C154" s="31" t="s">
        <v>90</v>
      </c>
      <c r="D154" s="6" t="s">
        <v>1140</v>
      </c>
      <c r="E154" s="26">
        <v>99</v>
      </c>
      <c r="F154" s="6"/>
      <c r="G154" s="40" t="str">
        <f t="shared" si="14"/>
        <v>cD99</v>
      </c>
      <c r="H154" s="40"/>
      <c r="I154" s="5"/>
      <c r="J154" s="5"/>
      <c r="K154" s="5" t="s">
        <v>460</v>
      </c>
      <c r="L154" s="49" t="s">
        <v>1250</v>
      </c>
      <c r="M154" s="49"/>
      <c r="N154" s="49"/>
      <c r="O154" s="59" t="s">
        <v>460</v>
      </c>
      <c r="P154" s="64" t="s">
        <v>822</v>
      </c>
      <c r="Q154" s="65"/>
      <c r="R154" s="83"/>
      <c r="S154" s="83"/>
      <c r="T154" s="5" t="s">
        <v>267</v>
      </c>
      <c r="U154" s="52" t="s">
        <v>90</v>
      </c>
      <c r="V154" s="5" t="s">
        <v>267</v>
      </c>
      <c r="W154" s="53" t="s">
        <v>90</v>
      </c>
      <c r="X154" s="2"/>
    </row>
    <row r="155" spans="1:24" x14ac:dyDescent="0.25">
      <c r="A155" s="44" t="str">
        <f t="shared" si="12"/>
        <v/>
      </c>
      <c r="B155" s="2">
        <v>145</v>
      </c>
      <c r="C155" s="31" t="s">
        <v>91</v>
      </c>
      <c r="D155" s="6" t="s">
        <v>1140</v>
      </c>
      <c r="E155" s="26">
        <v>99</v>
      </c>
      <c r="F155" s="6"/>
      <c r="G155" s="40" t="str">
        <f t="shared" si="14"/>
        <v>cD99</v>
      </c>
      <c r="H155" s="40"/>
      <c r="I155" s="5"/>
      <c r="J155" s="5"/>
      <c r="K155" s="5" t="s">
        <v>461</v>
      </c>
      <c r="L155" s="49" t="s">
        <v>823</v>
      </c>
      <c r="M155" s="49"/>
      <c r="N155" s="49"/>
      <c r="O155" s="59" t="s">
        <v>461</v>
      </c>
      <c r="P155" s="64" t="s">
        <v>823</v>
      </c>
      <c r="Q155" s="65"/>
      <c r="R155" s="83"/>
      <c r="S155" s="83"/>
      <c r="T155" s="5" t="s">
        <v>268</v>
      </c>
      <c r="U155" s="52" t="s">
        <v>91</v>
      </c>
      <c r="V155" s="5" t="s">
        <v>268</v>
      </c>
      <c r="W155" s="53" t="s">
        <v>91</v>
      </c>
      <c r="X155" s="2"/>
    </row>
    <row r="156" spans="1:24" ht="25.5" x14ac:dyDescent="0.25">
      <c r="A156" s="44" t="str">
        <f t="shared" si="12"/>
        <v/>
      </c>
      <c r="B156" s="2">
        <v>146</v>
      </c>
      <c r="C156" s="31" t="s">
        <v>92</v>
      </c>
      <c r="D156" s="6" t="s">
        <v>1140</v>
      </c>
      <c r="E156" s="26">
        <v>99</v>
      </c>
      <c r="F156" s="6"/>
      <c r="G156" s="40" t="str">
        <f t="shared" si="14"/>
        <v>cD99</v>
      </c>
      <c r="H156" s="40"/>
      <c r="I156" s="5"/>
      <c r="J156" s="5"/>
      <c r="K156" s="5" t="s">
        <v>462</v>
      </c>
      <c r="L156" s="49" t="s">
        <v>824</v>
      </c>
      <c r="M156" s="49"/>
      <c r="N156" s="49"/>
      <c r="O156" s="59" t="s">
        <v>462</v>
      </c>
      <c r="P156" s="64" t="s">
        <v>824</v>
      </c>
      <c r="Q156" s="65"/>
      <c r="R156" s="83"/>
      <c r="S156" s="83"/>
      <c r="T156" s="5" t="s">
        <v>269</v>
      </c>
      <c r="U156" s="52" t="s">
        <v>92</v>
      </c>
      <c r="V156" s="5" t="s">
        <v>269</v>
      </c>
      <c r="W156" s="53" t="s">
        <v>92</v>
      </c>
      <c r="X156" s="2" t="s">
        <v>615</v>
      </c>
    </row>
    <row r="157" spans="1:24" ht="42" x14ac:dyDescent="0.25">
      <c r="A157" s="44" t="str">
        <f t="shared" si="12"/>
        <v>..C. - Cardiovascular diseases</v>
      </c>
      <c r="B157" s="2">
        <v>147</v>
      </c>
      <c r="C157" s="35" t="s">
        <v>93</v>
      </c>
      <c r="D157" s="25" t="s">
        <v>1139</v>
      </c>
      <c r="E157" s="26"/>
      <c r="F157" s="6"/>
      <c r="G157" s="40"/>
      <c r="H157" s="40" t="str">
        <f>CONCATENATE(D157,E157,F157)</f>
        <v>C</v>
      </c>
      <c r="I157" s="5"/>
      <c r="J157" s="5"/>
      <c r="K157" s="5" t="s">
        <v>952</v>
      </c>
      <c r="L157" s="19" t="s">
        <v>952</v>
      </c>
      <c r="M157" s="19"/>
      <c r="N157" s="19"/>
      <c r="O157" s="59" t="s">
        <v>463</v>
      </c>
      <c r="P157" s="62" t="s">
        <v>825</v>
      </c>
      <c r="Q157" s="63"/>
      <c r="R157" s="83" t="s">
        <v>616</v>
      </c>
      <c r="S157" s="83" t="s">
        <v>681</v>
      </c>
      <c r="T157" s="2" t="s">
        <v>270</v>
      </c>
      <c r="U157" s="20" t="s">
        <v>93</v>
      </c>
      <c r="V157" s="2" t="s">
        <v>270</v>
      </c>
      <c r="W157" s="45" t="s">
        <v>93</v>
      </c>
      <c r="X157" s="2"/>
    </row>
    <row r="158" spans="1:24" x14ac:dyDescent="0.25">
      <c r="A158" s="44" t="str">
        <f t="shared" si="12"/>
        <v/>
      </c>
      <c r="B158" s="2">
        <v>148</v>
      </c>
      <c r="C158" s="36" t="s">
        <v>94</v>
      </c>
      <c r="D158" s="6" t="s">
        <v>1139</v>
      </c>
      <c r="E158" s="26">
        <v>99</v>
      </c>
      <c r="F158" s="6"/>
      <c r="G158" s="40" t="str">
        <f t="shared" ref="G158:G164" si="15">CONCATENATE("c",D158,E158,F158)</f>
        <v>cC99</v>
      </c>
      <c r="H158" s="40"/>
      <c r="I158" s="5"/>
      <c r="J158" s="5"/>
      <c r="K158" s="5" t="s">
        <v>464</v>
      </c>
      <c r="L158" s="49" t="s">
        <v>826</v>
      </c>
      <c r="M158" s="49" t="s">
        <v>464</v>
      </c>
      <c r="N158" s="49" t="s">
        <v>1339</v>
      </c>
      <c r="O158" s="59" t="s">
        <v>464</v>
      </c>
      <c r="P158" s="64" t="s">
        <v>826</v>
      </c>
      <c r="Q158" s="65"/>
      <c r="R158" s="83" t="s">
        <v>617</v>
      </c>
      <c r="S158" s="83" t="s">
        <v>1052</v>
      </c>
      <c r="T158" s="5" t="s">
        <v>271</v>
      </c>
      <c r="U158" s="50" t="s">
        <v>94</v>
      </c>
      <c r="V158" s="5" t="s">
        <v>271</v>
      </c>
      <c r="W158" s="51" t="s">
        <v>94</v>
      </c>
      <c r="X158" s="2"/>
    </row>
    <row r="159" spans="1:24" x14ac:dyDescent="0.25">
      <c r="A159" s="44" t="str">
        <f t="shared" si="12"/>
        <v>...C.01. - Hypertensive heart disease</v>
      </c>
      <c r="B159" s="2">
        <v>149</v>
      </c>
      <c r="C159" s="36" t="s">
        <v>95</v>
      </c>
      <c r="D159" s="6" t="s">
        <v>1139</v>
      </c>
      <c r="E159" s="26" t="s">
        <v>1142</v>
      </c>
      <c r="F159" s="6"/>
      <c r="G159" s="40" t="str">
        <f t="shared" si="15"/>
        <v>cC01</v>
      </c>
      <c r="H159" s="40" t="str">
        <f t="shared" ref="H159:H164" si="16">CONCATENATE(D159,E159,F159)</f>
        <v>C01</v>
      </c>
      <c r="I159" s="5"/>
      <c r="J159" s="5"/>
      <c r="K159" s="5" t="s">
        <v>465</v>
      </c>
      <c r="L159" s="49" t="s">
        <v>827</v>
      </c>
      <c r="M159" s="49" t="s">
        <v>465</v>
      </c>
      <c r="N159" s="49" t="s">
        <v>827</v>
      </c>
      <c r="O159" s="59" t="s">
        <v>465</v>
      </c>
      <c r="P159" s="64" t="s">
        <v>827</v>
      </c>
      <c r="Q159" s="65"/>
      <c r="R159" s="83" t="s">
        <v>618</v>
      </c>
      <c r="S159" s="85">
        <v>402</v>
      </c>
      <c r="T159" s="5" t="s">
        <v>272</v>
      </c>
      <c r="U159" s="50" t="s">
        <v>95</v>
      </c>
      <c r="V159" s="5" t="s">
        <v>272</v>
      </c>
      <c r="W159" s="51" t="s">
        <v>95</v>
      </c>
      <c r="X159" s="2"/>
    </row>
    <row r="160" spans="1:24" x14ac:dyDescent="0.25">
      <c r="A160" s="44" t="str">
        <f t="shared" si="12"/>
        <v>...C.02. - Ischemic heart disease</v>
      </c>
      <c r="B160" s="2">
        <v>150</v>
      </c>
      <c r="C160" s="36" t="s">
        <v>96</v>
      </c>
      <c r="D160" s="6" t="s">
        <v>1139</v>
      </c>
      <c r="E160" s="26" t="s">
        <v>1143</v>
      </c>
      <c r="F160" s="6"/>
      <c r="G160" s="40" t="str">
        <f t="shared" si="15"/>
        <v>cC02</v>
      </c>
      <c r="H160" s="40" t="str">
        <f t="shared" si="16"/>
        <v>C02</v>
      </c>
      <c r="I160" s="5"/>
      <c r="J160" s="5"/>
      <c r="K160" s="5" t="s">
        <v>466</v>
      </c>
      <c r="L160" s="49" t="s">
        <v>828</v>
      </c>
      <c r="M160" s="49" t="s">
        <v>466</v>
      </c>
      <c r="N160" s="49" t="s">
        <v>828</v>
      </c>
      <c r="O160" s="59" t="s">
        <v>466</v>
      </c>
      <c r="P160" s="64" t="s">
        <v>828</v>
      </c>
      <c r="Q160" s="65"/>
      <c r="R160" s="83" t="s">
        <v>619</v>
      </c>
      <c r="S160" s="83" t="s">
        <v>1029</v>
      </c>
      <c r="T160" s="5" t="s">
        <v>1409</v>
      </c>
      <c r="U160" s="50" t="s">
        <v>96</v>
      </c>
      <c r="V160" s="5" t="s">
        <v>273</v>
      </c>
      <c r="W160" s="51" t="s">
        <v>96</v>
      </c>
      <c r="X160" s="2"/>
    </row>
    <row r="161" spans="1:24" x14ac:dyDescent="0.25">
      <c r="A161" s="44" t="str">
        <f t="shared" si="12"/>
        <v>...C.03. - Stroke</v>
      </c>
      <c r="B161" s="2">
        <v>151</v>
      </c>
      <c r="C161" s="36" t="s">
        <v>97</v>
      </c>
      <c r="D161" s="6" t="s">
        <v>1139</v>
      </c>
      <c r="E161" s="26" t="s">
        <v>1144</v>
      </c>
      <c r="F161" s="6"/>
      <c r="G161" s="40" t="str">
        <f t="shared" si="15"/>
        <v>cC03</v>
      </c>
      <c r="H161" s="40" t="str">
        <f t="shared" si="16"/>
        <v>C03</v>
      </c>
      <c r="I161" s="5" t="s">
        <v>1227</v>
      </c>
      <c r="J161" s="5" t="s">
        <v>1159</v>
      </c>
      <c r="K161" s="5" t="s">
        <v>1225</v>
      </c>
      <c r="L161" s="49" t="s">
        <v>1226</v>
      </c>
      <c r="M161" s="49" t="s">
        <v>1225</v>
      </c>
      <c r="N161" s="49" t="s">
        <v>1340</v>
      </c>
      <c r="O161" s="59" t="s">
        <v>467</v>
      </c>
      <c r="P161" s="64" t="s">
        <v>829</v>
      </c>
      <c r="Q161" s="65"/>
      <c r="R161" s="83" t="s">
        <v>620</v>
      </c>
      <c r="S161" s="83" t="s">
        <v>1056</v>
      </c>
      <c r="T161" s="5" t="s">
        <v>274</v>
      </c>
      <c r="U161" s="50" t="s">
        <v>97</v>
      </c>
      <c r="V161" s="5" t="s">
        <v>274</v>
      </c>
      <c r="W161" s="51" t="s">
        <v>97</v>
      </c>
      <c r="X161" s="2"/>
    </row>
    <row r="162" spans="1:24" ht="25.5" x14ac:dyDescent="0.25">
      <c r="A162" s="44" t="str">
        <f t="shared" si="12"/>
        <v>...C.04. - Cardiomyopathy, myocarditis, endocarditis</v>
      </c>
      <c r="B162" s="2">
        <v>152</v>
      </c>
      <c r="C162" s="36" t="s">
        <v>98</v>
      </c>
      <c r="D162" s="6" t="s">
        <v>1139</v>
      </c>
      <c r="E162" s="26" t="s">
        <v>1145</v>
      </c>
      <c r="F162" s="6"/>
      <c r="G162" s="40" t="str">
        <f t="shared" si="15"/>
        <v>cC04</v>
      </c>
      <c r="H162" s="40" t="str">
        <f t="shared" si="16"/>
        <v>C04</v>
      </c>
      <c r="I162" s="5"/>
      <c r="J162" s="5"/>
      <c r="K162" s="5" t="s">
        <v>468</v>
      </c>
      <c r="L162" s="49" t="s">
        <v>830</v>
      </c>
      <c r="M162" s="49" t="s">
        <v>1337</v>
      </c>
      <c r="N162" s="49" t="s">
        <v>1338</v>
      </c>
      <c r="O162" s="59" t="s">
        <v>468</v>
      </c>
      <c r="P162" s="64" t="s">
        <v>830</v>
      </c>
      <c r="Q162" s="65"/>
      <c r="R162" s="83" t="s">
        <v>621</v>
      </c>
      <c r="S162" s="83" t="s">
        <v>1057</v>
      </c>
      <c r="T162" s="5" t="s">
        <v>275</v>
      </c>
      <c r="U162" s="50" t="s">
        <v>98</v>
      </c>
      <c r="V162" s="5" t="s">
        <v>275</v>
      </c>
      <c r="W162" s="51" t="s">
        <v>98</v>
      </c>
      <c r="X162" s="76" t="s">
        <v>1344</v>
      </c>
    </row>
    <row r="163" spans="1:24" ht="25.5" x14ac:dyDescent="0.25">
      <c r="A163" s="44" t="str">
        <f t="shared" si="12"/>
        <v>...C.05. -  Congestive heart failure</v>
      </c>
      <c r="B163" s="2"/>
      <c r="C163" s="36"/>
      <c r="D163" s="6" t="s">
        <v>1139</v>
      </c>
      <c r="E163" s="26" t="s">
        <v>1146</v>
      </c>
      <c r="F163" s="6"/>
      <c r="G163" s="40" t="str">
        <f t="shared" si="15"/>
        <v>cC05</v>
      </c>
      <c r="H163" s="40" t="str">
        <f t="shared" si="16"/>
        <v>C05</v>
      </c>
      <c r="I163" s="5" t="s">
        <v>1320</v>
      </c>
      <c r="J163" s="5" t="s">
        <v>1211</v>
      </c>
      <c r="K163" s="5" t="s">
        <v>1314</v>
      </c>
      <c r="L163" s="49" t="s">
        <v>1314</v>
      </c>
      <c r="M163" s="49" t="s">
        <v>1314</v>
      </c>
      <c r="N163" s="49" t="s">
        <v>1314</v>
      </c>
      <c r="O163" s="59"/>
      <c r="P163" s="64"/>
      <c r="Q163" s="65"/>
      <c r="R163" s="83"/>
      <c r="S163" s="83"/>
      <c r="T163" s="5" t="s">
        <v>1325</v>
      </c>
      <c r="U163" s="50"/>
      <c r="V163" s="5"/>
      <c r="W163" s="51"/>
      <c r="X163" s="2"/>
    </row>
    <row r="164" spans="1:24" ht="38.25" x14ac:dyDescent="0.25">
      <c r="A164" s="44" t="str">
        <f t="shared" si="12"/>
        <v>...C.99. - Other or unspecified cardiovascular diseases</v>
      </c>
      <c r="B164" s="2">
        <v>153</v>
      </c>
      <c r="C164" s="31" t="s">
        <v>99</v>
      </c>
      <c r="D164" s="6" t="s">
        <v>1139</v>
      </c>
      <c r="E164" s="26">
        <v>99</v>
      </c>
      <c r="F164" s="6"/>
      <c r="G164" s="40" t="str">
        <f t="shared" si="15"/>
        <v>cC99</v>
      </c>
      <c r="H164" s="40" t="str">
        <f t="shared" si="16"/>
        <v>C99</v>
      </c>
      <c r="I164" s="5" t="s">
        <v>1321</v>
      </c>
      <c r="J164" s="5" t="s">
        <v>1322</v>
      </c>
      <c r="K164" s="5" t="s">
        <v>1323</v>
      </c>
      <c r="L164" s="19" t="s">
        <v>1324</v>
      </c>
      <c r="M164" s="19" t="s">
        <v>1342</v>
      </c>
      <c r="N164" s="19" t="s">
        <v>1343</v>
      </c>
      <c r="O164" s="59" t="s">
        <v>469</v>
      </c>
      <c r="P164" s="64" t="s">
        <v>831</v>
      </c>
      <c r="Q164" s="65"/>
      <c r="R164" s="83" t="s">
        <v>622</v>
      </c>
      <c r="S164" s="83" t="s">
        <v>1102</v>
      </c>
      <c r="T164" s="74" t="s">
        <v>1319</v>
      </c>
      <c r="U164" s="52" t="s">
        <v>99</v>
      </c>
      <c r="V164" s="5" t="s">
        <v>276</v>
      </c>
      <c r="W164" s="53" t="s">
        <v>99</v>
      </c>
      <c r="X164" s="76" t="s">
        <v>1341</v>
      </c>
    </row>
    <row r="165" spans="1:24" x14ac:dyDescent="0.25">
      <c r="A165" s="44" t="str">
        <f t="shared" si="12"/>
        <v/>
      </c>
      <c r="B165" s="2">
        <v>154</v>
      </c>
      <c r="C165" s="35" t="s">
        <v>100</v>
      </c>
      <c r="D165" s="6" t="s">
        <v>952</v>
      </c>
      <c r="E165" s="26" t="s">
        <v>952</v>
      </c>
      <c r="F165" s="6"/>
      <c r="G165" s="40"/>
      <c r="H165" s="40"/>
      <c r="I165" s="5"/>
      <c r="J165" s="5"/>
      <c r="K165" s="5" t="s">
        <v>952</v>
      </c>
      <c r="L165" s="19" t="s">
        <v>952</v>
      </c>
      <c r="M165" s="19"/>
      <c r="N165" s="19"/>
      <c r="O165" s="59" t="s">
        <v>470</v>
      </c>
      <c r="P165" s="62" t="s">
        <v>832</v>
      </c>
      <c r="Q165" s="63"/>
      <c r="R165" s="83" t="s">
        <v>623</v>
      </c>
      <c r="S165" s="83" t="s">
        <v>680</v>
      </c>
      <c r="T165" s="2" t="s">
        <v>277</v>
      </c>
      <c r="U165" s="20" t="s">
        <v>100</v>
      </c>
      <c r="V165" s="2" t="s">
        <v>277</v>
      </c>
      <c r="W165" s="45" t="s">
        <v>100</v>
      </c>
      <c r="X165" s="2"/>
    </row>
    <row r="166" spans="1:24" x14ac:dyDescent="0.25">
      <c r="A166" s="44" t="str">
        <f t="shared" si="12"/>
        <v>...D.66. - Chronic obstructive pulmonary disease</v>
      </c>
      <c r="B166" s="2">
        <v>155</v>
      </c>
      <c r="C166" s="31" t="s">
        <v>101</v>
      </c>
      <c r="D166" s="27" t="s">
        <v>1140</v>
      </c>
      <c r="E166" s="78" t="s">
        <v>1349</v>
      </c>
      <c r="F166" s="6"/>
      <c r="G166" s="40" t="str">
        <f>CONCATENATE("c",D166,E166,F166)</f>
        <v>cD66</v>
      </c>
      <c r="H166" s="40" t="str">
        <f>CONCATENATE(D166,E166,F166)</f>
        <v>D66</v>
      </c>
      <c r="I166" s="5"/>
      <c r="J166" s="5"/>
      <c r="K166" s="5" t="s">
        <v>471</v>
      </c>
      <c r="L166" s="49" t="s">
        <v>833</v>
      </c>
      <c r="M166" s="49"/>
      <c r="N166" s="49"/>
      <c r="O166" s="59" t="s">
        <v>471</v>
      </c>
      <c r="P166" s="64" t="s">
        <v>833</v>
      </c>
      <c r="Q166" s="65"/>
      <c r="R166" s="83" t="s">
        <v>624</v>
      </c>
      <c r="S166" s="83" t="s">
        <v>1028</v>
      </c>
      <c r="T166" s="5" t="s">
        <v>278</v>
      </c>
      <c r="U166" s="20" t="s">
        <v>101</v>
      </c>
      <c r="V166" s="5" t="s">
        <v>278</v>
      </c>
      <c r="W166" s="45" t="s">
        <v>101</v>
      </c>
      <c r="X166" s="2"/>
    </row>
    <row r="167" spans="1:24" x14ac:dyDescent="0.25">
      <c r="A167" s="44" t="str">
        <f t="shared" si="12"/>
        <v>...D.67. - Asthma</v>
      </c>
      <c r="B167" s="2">
        <v>156</v>
      </c>
      <c r="C167" s="31" t="s">
        <v>102</v>
      </c>
      <c r="D167" s="27" t="s">
        <v>1140</v>
      </c>
      <c r="E167" s="78" t="s">
        <v>1350</v>
      </c>
      <c r="F167" s="6"/>
      <c r="G167" s="40" t="str">
        <f>CONCATENATE("c",D167,E167,F167)</f>
        <v>cD67</v>
      </c>
      <c r="H167" s="40" t="str">
        <f>CONCATENATE(D167,E167,F167)</f>
        <v>D67</v>
      </c>
      <c r="I167" s="5"/>
      <c r="J167" s="5"/>
      <c r="K167" s="5" t="s">
        <v>472</v>
      </c>
      <c r="L167" s="49" t="s">
        <v>834</v>
      </c>
      <c r="M167" s="49"/>
      <c r="N167" s="49"/>
      <c r="O167" s="59" t="s">
        <v>472</v>
      </c>
      <c r="P167" s="64" t="s">
        <v>834</v>
      </c>
      <c r="Q167" s="65"/>
      <c r="R167" s="83" t="s">
        <v>625</v>
      </c>
      <c r="S167" s="85">
        <v>493</v>
      </c>
      <c r="T167" s="5" t="s">
        <v>279</v>
      </c>
      <c r="U167" s="20" t="s">
        <v>102</v>
      </c>
      <c r="V167" s="5" t="s">
        <v>279</v>
      </c>
      <c r="W167" s="45" t="s">
        <v>102</v>
      </c>
      <c r="X167" s="2"/>
    </row>
    <row r="168" spans="1:24" x14ac:dyDescent="0.25">
      <c r="A168" s="44" t="str">
        <f t="shared" si="12"/>
        <v>...D.68. - Other respiratory diseases</v>
      </c>
      <c r="B168" s="2">
        <v>157</v>
      </c>
      <c r="C168" s="31" t="s">
        <v>1348</v>
      </c>
      <c r="D168" s="27" t="s">
        <v>1140</v>
      </c>
      <c r="E168" s="78" t="s">
        <v>1351</v>
      </c>
      <c r="F168" s="6"/>
      <c r="G168" s="40" t="str">
        <f>CONCATENATE("c",D168,E168,F168)</f>
        <v>cD68</v>
      </c>
      <c r="H168" s="40" t="str">
        <f>CONCATENATE(D168,E168,F168)</f>
        <v>D68</v>
      </c>
      <c r="I168" s="5"/>
      <c r="J168" s="5"/>
      <c r="K168" s="5" t="s">
        <v>473</v>
      </c>
      <c r="L168" s="49" t="s">
        <v>835</v>
      </c>
      <c r="M168" s="49"/>
      <c r="N168" s="49"/>
      <c r="O168" s="59" t="s">
        <v>473</v>
      </c>
      <c r="P168" s="64" t="s">
        <v>835</v>
      </c>
      <c r="Q168" s="65"/>
      <c r="R168" s="83" t="s">
        <v>626</v>
      </c>
      <c r="S168" s="83" t="s">
        <v>1055</v>
      </c>
      <c r="T168" s="5" t="s">
        <v>280</v>
      </c>
      <c r="U168" s="20" t="s">
        <v>103</v>
      </c>
      <c r="V168" s="5" t="s">
        <v>280</v>
      </c>
      <c r="W168" s="45" t="s">
        <v>103</v>
      </c>
      <c r="X168" s="2"/>
    </row>
    <row r="169" spans="1:24" x14ac:dyDescent="0.25">
      <c r="A169" s="44" t="str">
        <f t="shared" si="12"/>
        <v>...D.09. - Digestive diseases (excluding cirrhosis)</v>
      </c>
      <c r="B169" s="2">
        <v>158</v>
      </c>
      <c r="C169" s="35" t="s">
        <v>104</v>
      </c>
      <c r="D169" s="6" t="s">
        <v>1140</v>
      </c>
      <c r="E169" s="26" t="s">
        <v>1150</v>
      </c>
      <c r="F169" s="6"/>
      <c r="G169" s="40" t="s">
        <v>952</v>
      </c>
      <c r="H169" s="40" t="str">
        <f>CONCATENATE(D169,E169,F169)</f>
        <v>D09</v>
      </c>
      <c r="I169" s="5"/>
      <c r="J169" s="5"/>
      <c r="K169" s="5" t="s">
        <v>474</v>
      </c>
      <c r="L169" s="19" t="s">
        <v>836</v>
      </c>
      <c r="M169" s="19"/>
      <c r="N169" s="19"/>
      <c r="O169" s="59" t="s">
        <v>474</v>
      </c>
      <c r="P169" s="62" t="s">
        <v>836</v>
      </c>
      <c r="Q169" s="63"/>
      <c r="R169" s="83" t="s">
        <v>627</v>
      </c>
      <c r="S169" s="83" t="s">
        <v>682</v>
      </c>
      <c r="T169" s="76" t="s">
        <v>1328</v>
      </c>
      <c r="U169" s="20" t="s">
        <v>1329</v>
      </c>
      <c r="V169" s="2" t="s">
        <v>281</v>
      </c>
      <c r="W169" s="45" t="s">
        <v>104</v>
      </c>
      <c r="X169" s="2"/>
    </row>
    <row r="170" spans="1:24" x14ac:dyDescent="0.25">
      <c r="A170" s="44" t="str">
        <f t="shared" si="12"/>
        <v/>
      </c>
      <c r="B170" s="2">
        <v>159</v>
      </c>
      <c r="C170" s="31" t="s">
        <v>105</v>
      </c>
      <c r="D170" s="6" t="s">
        <v>1140</v>
      </c>
      <c r="E170" s="26" t="s">
        <v>1150</v>
      </c>
      <c r="F170" s="6"/>
      <c r="G170" s="40" t="str">
        <f t="shared" ref="G170:G178" si="17">CONCATENATE("c",D170,E170,F170)</f>
        <v>cD09</v>
      </c>
      <c r="H170" s="40"/>
      <c r="I170" s="5"/>
      <c r="J170" s="5"/>
      <c r="K170" s="5" t="s">
        <v>475</v>
      </c>
      <c r="L170" s="49" t="s">
        <v>837</v>
      </c>
      <c r="M170" s="49"/>
      <c r="N170" s="49"/>
      <c r="O170" s="59" t="s">
        <v>475</v>
      </c>
      <c r="P170" s="64" t="s">
        <v>837</v>
      </c>
      <c r="Q170" s="65"/>
      <c r="R170" s="83" t="s">
        <v>628</v>
      </c>
      <c r="S170" s="83" t="s">
        <v>1027</v>
      </c>
      <c r="T170" s="5" t="s">
        <v>282</v>
      </c>
      <c r="U170" s="20" t="s">
        <v>105</v>
      </c>
      <c r="V170" s="5" t="s">
        <v>282</v>
      </c>
      <c r="W170" s="45" t="s">
        <v>105</v>
      </c>
      <c r="X170" s="2"/>
    </row>
    <row r="171" spans="1:24" s="48" customFormat="1" ht="25.5" x14ac:dyDescent="0.25">
      <c r="A171" s="44" t="str">
        <f t="shared" si="12"/>
        <v>...D.11. - Cirrhosis of the liver</v>
      </c>
      <c r="B171" s="2">
        <v>160</v>
      </c>
      <c r="C171" s="36" t="s">
        <v>106</v>
      </c>
      <c r="D171" s="6" t="s">
        <v>1140</v>
      </c>
      <c r="E171" s="26" t="s">
        <v>1158</v>
      </c>
      <c r="F171" s="6"/>
      <c r="G171" s="40" t="str">
        <f t="shared" si="17"/>
        <v>cD11</v>
      </c>
      <c r="H171" s="40" t="str">
        <f>CONCATENATE(D171,E171,F171)</f>
        <v>D11</v>
      </c>
      <c r="I171" s="16" t="s">
        <v>1228</v>
      </c>
      <c r="J171" s="5" t="s">
        <v>1159</v>
      </c>
      <c r="K171" s="5" t="s">
        <v>1200</v>
      </c>
      <c r="L171" s="49" t="s">
        <v>1201</v>
      </c>
      <c r="M171" s="49"/>
      <c r="N171" s="49"/>
      <c r="O171" s="59" t="s">
        <v>476</v>
      </c>
      <c r="P171" s="64" t="s">
        <v>838</v>
      </c>
      <c r="Q171" s="64"/>
      <c r="R171" s="83" t="s">
        <v>629</v>
      </c>
      <c r="S171" s="83" t="s">
        <v>1101</v>
      </c>
      <c r="T171" s="5" t="s">
        <v>283</v>
      </c>
      <c r="U171" s="50" t="s">
        <v>106</v>
      </c>
      <c r="V171" s="5" t="s">
        <v>283</v>
      </c>
      <c r="W171" s="50" t="s">
        <v>106</v>
      </c>
      <c r="X171" s="2"/>
    </row>
    <row r="172" spans="1:24" x14ac:dyDescent="0.25">
      <c r="A172" s="44" t="str">
        <f t="shared" si="12"/>
        <v/>
      </c>
      <c r="B172" s="2">
        <v>161</v>
      </c>
      <c r="C172" s="36" t="s">
        <v>107</v>
      </c>
      <c r="D172" s="6" t="s">
        <v>1140</v>
      </c>
      <c r="E172" s="26" t="s">
        <v>1150</v>
      </c>
      <c r="F172" s="6"/>
      <c r="G172" s="40" t="str">
        <f t="shared" si="17"/>
        <v>cD09</v>
      </c>
      <c r="H172" s="40"/>
      <c r="I172" s="5"/>
      <c r="J172" s="5"/>
      <c r="K172" s="5" t="s">
        <v>477</v>
      </c>
      <c r="L172" s="49" t="s">
        <v>839</v>
      </c>
      <c r="M172" s="49"/>
      <c r="N172" s="49"/>
      <c r="O172" s="59" t="s">
        <v>477</v>
      </c>
      <c r="P172" s="64" t="s">
        <v>839</v>
      </c>
      <c r="Q172" s="65"/>
      <c r="R172" s="83" t="s">
        <v>630</v>
      </c>
      <c r="S172" s="83" t="s">
        <v>1022</v>
      </c>
      <c r="T172" s="5" t="s">
        <v>284</v>
      </c>
      <c r="U172" s="50" t="s">
        <v>107</v>
      </c>
      <c r="V172" s="5" t="s">
        <v>284</v>
      </c>
      <c r="W172" s="51" t="s">
        <v>107</v>
      </c>
      <c r="X172" s="2"/>
    </row>
    <row r="173" spans="1:24" x14ac:dyDescent="0.25">
      <c r="A173" s="44" t="str">
        <f t="shared" si="12"/>
        <v/>
      </c>
      <c r="B173" s="2">
        <v>162</v>
      </c>
      <c r="C173" s="36" t="s">
        <v>734</v>
      </c>
      <c r="D173" s="6" t="s">
        <v>1140</v>
      </c>
      <c r="E173" s="26" t="s">
        <v>1150</v>
      </c>
      <c r="F173" s="6"/>
      <c r="G173" s="40" t="str">
        <f t="shared" si="17"/>
        <v>cD09</v>
      </c>
      <c r="H173" s="40"/>
      <c r="I173" s="5"/>
      <c r="J173" s="5"/>
      <c r="K173" s="5" t="s">
        <v>840</v>
      </c>
      <c r="L173" s="49" t="s">
        <v>840</v>
      </c>
      <c r="M173" s="49"/>
      <c r="N173" s="49"/>
      <c r="O173" s="59" t="s">
        <v>840</v>
      </c>
      <c r="P173" s="64" t="s">
        <v>840</v>
      </c>
      <c r="Q173" s="65"/>
      <c r="R173" s="83" t="s">
        <v>631</v>
      </c>
      <c r="S173" s="85">
        <v>535</v>
      </c>
      <c r="T173" s="5" t="s">
        <v>919</v>
      </c>
      <c r="U173" s="5" t="s">
        <v>734</v>
      </c>
      <c r="V173" s="5" t="s">
        <v>919</v>
      </c>
      <c r="W173" s="5" t="s">
        <v>734</v>
      </c>
      <c r="X173" s="2"/>
    </row>
    <row r="174" spans="1:24" ht="25.5" x14ac:dyDescent="0.25">
      <c r="A174" s="44" t="str">
        <f t="shared" si="12"/>
        <v/>
      </c>
      <c r="B174" s="2">
        <v>163</v>
      </c>
      <c r="C174" s="36" t="s">
        <v>735</v>
      </c>
      <c r="D174" s="6" t="s">
        <v>1140</v>
      </c>
      <c r="E174" s="26" t="s">
        <v>1150</v>
      </c>
      <c r="F174" s="6"/>
      <c r="G174" s="40" t="str">
        <f t="shared" si="17"/>
        <v>cD09</v>
      </c>
      <c r="H174" s="40"/>
      <c r="I174" s="5"/>
      <c r="J174" s="5"/>
      <c r="K174" s="5" t="s">
        <v>841</v>
      </c>
      <c r="L174" s="49" t="s">
        <v>841</v>
      </c>
      <c r="M174" s="49"/>
      <c r="N174" s="49"/>
      <c r="O174" s="59" t="s">
        <v>841</v>
      </c>
      <c r="P174" s="64" t="s">
        <v>841</v>
      </c>
      <c r="Q174" s="65"/>
      <c r="R174" s="83" t="s">
        <v>632</v>
      </c>
      <c r="S174" s="83" t="s">
        <v>1023</v>
      </c>
      <c r="T174" s="5" t="s">
        <v>920</v>
      </c>
      <c r="U174" s="5" t="s">
        <v>735</v>
      </c>
      <c r="V174" s="5" t="s">
        <v>920</v>
      </c>
      <c r="W174" s="5" t="s">
        <v>735</v>
      </c>
      <c r="X174" s="2"/>
    </row>
    <row r="175" spans="1:24" x14ac:dyDescent="0.25">
      <c r="A175" s="44" t="str">
        <f t="shared" si="12"/>
        <v/>
      </c>
      <c r="B175" s="2">
        <v>164</v>
      </c>
      <c r="C175" s="36" t="s">
        <v>667</v>
      </c>
      <c r="D175" s="6" t="s">
        <v>1140</v>
      </c>
      <c r="E175" s="26" t="s">
        <v>1150</v>
      </c>
      <c r="F175" s="6"/>
      <c r="G175" s="40" t="str">
        <f t="shared" si="17"/>
        <v>cD09</v>
      </c>
      <c r="H175" s="40"/>
      <c r="I175" s="5"/>
      <c r="J175" s="5"/>
      <c r="K175" s="5" t="s">
        <v>988</v>
      </c>
      <c r="L175" s="49" t="s">
        <v>842</v>
      </c>
      <c r="M175" s="49"/>
      <c r="N175" s="49"/>
      <c r="O175" s="59" t="s">
        <v>988</v>
      </c>
      <c r="P175" s="64" t="s">
        <v>842</v>
      </c>
      <c r="Q175" s="65"/>
      <c r="R175" s="83" t="s">
        <v>633</v>
      </c>
      <c r="S175" s="83" t="s">
        <v>1026</v>
      </c>
      <c r="T175" s="5" t="s">
        <v>921</v>
      </c>
      <c r="U175" s="5" t="s">
        <v>667</v>
      </c>
      <c r="V175" s="5" t="s">
        <v>921</v>
      </c>
      <c r="W175" s="5" t="s">
        <v>667</v>
      </c>
      <c r="X175" s="2"/>
    </row>
    <row r="176" spans="1:24" x14ac:dyDescent="0.25">
      <c r="A176" s="44" t="str">
        <f t="shared" si="12"/>
        <v/>
      </c>
      <c r="B176" s="2">
        <v>165</v>
      </c>
      <c r="C176" s="36" t="s">
        <v>736</v>
      </c>
      <c r="D176" s="6" t="s">
        <v>1140</v>
      </c>
      <c r="E176" s="26" t="s">
        <v>1150</v>
      </c>
      <c r="F176" s="6"/>
      <c r="G176" s="40" t="str">
        <f t="shared" si="17"/>
        <v>cD09</v>
      </c>
      <c r="H176" s="40"/>
      <c r="I176" s="5"/>
      <c r="J176" s="5"/>
      <c r="K176" s="5" t="s">
        <v>989</v>
      </c>
      <c r="L176" s="49" t="s">
        <v>843</v>
      </c>
      <c r="M176" s="49"/>
      <c r="N176" s="49"/>
      <c r="O176" s="59" t="s">
        <v>989</v>
      </c>
      <c r="P176" s="64" t="s">
        <v>843</v>
      </c>
      <c r="Q176" s="65"/>
      <c r="R176" s="83" t="s">
        <v>634</v>
      </c>
      <c r="S176" s="83" t="s">
        <v>1025</v>
      </c>
      <c r="T176" s="5" t="s">
        <v>922</v>
      </c>
      <c r="U176" s="5" t="s">
        <v>736</v>
      </c>
      <c r="V176" s="5" t="s">
        <v>922</v>
      </c>
      <c r="W176" s="5" t="s">
        <v>736</v>
      </c>
      <c r="X176" s="2"/>
    </row>
    <row r="177" spans="1:24" x14ac:dyDescent="0.25">
      <c r="A177" s="44" t="str">
        <f t="shared" si="12"/>
        <v/>
      </c>
      <c r="B177" s="2">
        <v>166</v>
      </c>
      <c r="C177" s="36" t="s">
        <v>737</v>
      </c>
      <c r="D177" s="6" t="s">
        <v>1140</v>
      </c>
      <c r="E177" s="26" t="s">
        <v>1150</v>
      </c>
      <c r="F177" s="6"/>
      <c r="G177" s="40" t="str">
        <f t="shared" si="17"/>
        <v>cD09</v>
      </c>
      <c r="H177" s="40"/>
      <c r="I177" s="5"/>
      <c r="J177" s="5"/>
      <c r="K177" s="5" t="s">
        <v>990</v>
      </c>
      <c r="L177" s="49" t="s">
        <v>844</v>
      </c>
      <c r="M177" s="49"/>
      <c r="N177" s="49"/>
      <c r="O177" s="59" t="s">
        <v>990</v>
      </c>
      <c r="P177" s="64" t="s">
        <v>844</v>
      </c>
      <c r="Q177" s="65"/>
      <c r="R177" s="83" t="s">
        <v>635</v>
      </c>
      <c r="S177" s="83" t="s">
        <v>1024</v>
      </c>
      <c r="T177" s="5" t="s">
        <v>923</v>
      </c>
      <c r="U177" s="5" t="s">
        <v>924</v>
      </c>
      <c r="V177" s="5" t="s">
        <v>923</v>
      </c>
      <c r="W177" s="5" t="s">
        <v>924</v>
      </c>
      <c r="X177" s="2"/>
    </row>
    <row r="178" spans="1:24" ht="38.25" x14ac:dyDescent="0.25">
      <c r="A178" s="44" t="str">
        <f t="shared" si="12"/>
        <v/>
      </c>
      <c r="B178" s="2">
        <v>167</v>
      </c>
      <c r="C178" s="36" t="s">
        <v>738</v>
      </c>
      <c r="D178" s="6" t="s">
        <v>1140</v>
      </c>
      <c r="E178" s="26" t="s">
        <v>1150</v>
      </c>
      <c r="F178" s="6"/>
      <c r="G178" s="40" t="str">
        <f t="shared" si="17"/>
        <v>cD09</v>
      </c>
      <c r="H178" s="40"/>
      <c r="I178" s="5" t="s">
        <v>1202</v>
      </c>
      <c r="J178" s="5" t="s">
        <v>1159</v>
      </c>
      <c r="K178" s="5" t="s">
        <v>1203</v>
      </c>
      <c r="L178" s="49" t="s">
        <v>1204</v>
      </c>
      <c r="M178" s="49"/>
      <c r="N178" s="49"/>
      <c r="O178" s="59" t="s">
        <v>991</v>
      </c>
      <c r="P178" s="64" t="s">
        <v>845</v>
      </c>
      <c r="Q178" s="65"/>
      <c r="R178" s="83" t="s">
        <v>636</v>
      </c>
      <c r="S178" s="83" t="s">
        <v>1054</v>
      </c>
      <c r="T178" s="5" t="s">
        <v>285</v>
      </c>
      <c r="U178" s="50" t="s">
        <v>738</v>
      </c>
      <c r="V178" s="5" t="s">
        <v>285</v>
      </c>
      <c r="W178" s="51" t="s">
        <v>738</v>
      </c>
      <c r="X178" s="2"/>
    </row>
    <row r="179" spans="1:24" ht="33" x14ac:dyDescent="0.25">
      <c r="A179" s="44" t="str">
        <f t="shared" si="12"/>
        <v/>
      </c>
      <c r="B179" s="2">
        <v>168</v>
      </c>
      <c r="C179" s="35" t="s">
        <v>108</v>
      </c>
      <c r="D179" s="6" t="s">
        <v>952</v>
      </c>
      <c r="E179" s="26"/>
      <c r="F179" s="6"/>
      <c r="G179" s="40"/>
      <c r="H179" s="41"/>
      <c r="I179" s="5"/>
      <c r="J179" s="5"/>
      <c r="K179" s="5" t="s">
        <v>952</v>
      </c>
      <c r="L179" s="19" t="s">
        <v>952</v>
      </c>
      <c r="M179" s="19"/>
      <c r="N179" s="19"/>
      <c r="O179" s="59" t="s">
        <v>953</v>
      </c>
      <c r="P179" s="62" t="s">
        <v>958</v>
      </c>
      <c r="Q179" s="62"/>
      <c r="R179" s="83" t="s">
        <v>678</v>
      </c>
      <c r="S179" s="84" t="s">
        <v>679</v>
      </c>
      <c r="T179" s="2" t="s">
        <v>286</v>
      </c>
      <c r="U179" s="20" t="s">
        <v>108</v>
      </c>
      <c r="V179" s="2" t="s">
        <v>286</v>
      </c>
      <c r="W179" s="45" t="s">
        <v>108</v>
      </c>
      <c r="X179" s="2"/>
    </row>
    <row r="180" spans="1:24" ht="24.75" x14ac:dyDescent="0.25">
      <c r="A180" s="44" t="str">
        <f t="shared" si="12"/>
        <v>...D.10. - Kidney diseases</v>
      </c>
      <c r="B180" s="2">
        <v>169</v>
      </c>
      <c r="C180" s="36" t="s">
        <v>109</v>
      </c>
      <c r="D180" s="6" t="s">
        <v>1140</v>
      </c>
      <c r="E180" s="26" t="s">
        <v>1153</v>
      </c>
      <c r="F180" s="6"/>
      <c r="G180" s="40" t="s">
        <v>952</v>
      </c>
      <c r="H180" s="40" t="str">
        <f>CONCATENATE(D180,E180,F180)</f>
        <v>D10</v>
      </c>
      <c r="I180" s="5"/>
      <c r="J180" s="5"/>
      <c r="K180" s="5" t="s">
        <v>952</v>
      </c>
      <c r="L180" s="49" t="s">
        <v>952</v>
      </c>
      <c r="M180" s="49"/>
      <c r="N180" s="49" t="s">
        <v>952</v>
      </c>
      <c r="O180" s="59" t="s">
        <v>954</v>
      </c>
      <c r="P180" s="64" t="s">
        <v>846</v>
      </c>
      <c r="Q180" s="64"/>
      <c r="R180" s="83" t="s">
        <v>637</v>
      </c>
      <c r="S180" s="83" t="s">
        <v>1021</v>
      </c>
      <c r="T180" s="5" t="s">
        <v>287</v>
      </c>
      <c r="U180" s="50" t="s">
        <v>109</v>
      </c>
      <c r="V180" s="5" t="s">
        <v>287</v>
      </c>
      <c r="W180" s="51" t="s">
        <v>109</v>
      </c>
      <c r="X180" s="2"/>
    </row>
    <row r="181" spans="1:24" x14ac:dyDescent="0.25">
      <c r="A181" s="44" t="str">
        <f t="shared" si="12"/>
        <v>....D.10.a. - Acute glomerulonephritis</v>
      </c>
      <c r="B181" s="2">
        <v>170</v>
      </c>
      <c r="C181" s="33" t="s">
        <v>739</v>
      </c>
      <c r="D181" s="6" t="s">
        <v>1140</v>
      </c>
      <c r="E181" s="26" t="s">
        <v>1153</v>
      </c>
      <c r="F181" s="6" t="s">
        <v>1126</v>
      </c>
      <c r="G181" s="40" t="str">
        <f t="shared" ref="G181:G189" si="18">CONCATENATE("c",D181,E181,F181)</f>
        <v>cD10a</v>
      </c>
      <c r="H181" s="40" t="str">
        <f>CONCATENATE(D181,E181,F181)</f>
        <v>D10a</v>
      </c>
      <c r="I181" s="5"/>
      <c r="J181" s="5"/>
      <c r="K181" s="5" t="s">
        <v>955</v>
      </c>
      <c r="L181" s="49" t="s">
        <v>847</v>
      </c>
      <c r="M181" s="49"/>
      <c r="N181" s="49" t="s">
        <v>847</v>
      </c>
      <c r="O181" s="59" t="s">
        <v>955</v>
      </c>
      <c r="P181" s="64" t="s">
        <v>847</v>
      </c>
      <c r="Q181" s="65"/>
      <c r="R181" s="83" t="s">
        <v>638</v>
      </c>
      <c r="S181" s="85">
        <v>580</v>
      </c>
      <c r="T181" s="5" t="s">
        <v>925</v>
      </c>
      <c r="U181" s="5" t="s">
        <v>739</v>
      </c>
      <c r="V181" s="5" t="s">
        <v>925</v>
      </c>
      <c r="W181" s="5" t="s">
        <v>739</v>
      </c>
      <c r="X181" s="2"/>
    </row>
    <row r="182" spans="1:24" ht="25.5" x14ac:dyDescent="0.25">
      <c r="A182" s="44" t="str">
        <f t="shared" si="12"/>
        <v>....D.10.b. - Chronic kidney disease due to diabetes</v>
      </c>
      <c r="B182" s="2">
        <v>171</v>
      </c>
      <c r="C182" s="33" t="s">
        <v>740</v>
      </c>
      <c r="D182" s="27" t="s">
        <v>1140</v>
      </c>
      <c r="E182" s="26" t="s">
        <v>1153</v>
      </c>
      <c r="F182" s="6" t="s">
        <v>1127</v>
      </c>
      <c r="G182" s="40" t="str">
        <f t="shared" si="18"/>
        <v>cD10b</v>
      </c>
      <c r="H182" s="40" t="str">
        <f>CONCATENATE(D182,E182,F182)</f>
        <v>D10b</v>
      </c>
      <c r="I182" s="5"/>
      <c r="J182" s="5"/>
      <c r="K182" s="5" t="s">
        <v>956</v>
      </c>
      <c r="L182" s="49" t="s">
        <v>848</v>
      </c>
      <c r="M182" s="49"/>
      <c r="N182" s="49" t="s">
        <v>848</v>
      </c>
      <c r="O182" s="59" t="s">
        <v>956</v>
      </c>
      <c r="P182" s="64" t="s">
        <v>848</v>
      </c>
      <c r="Q182" s="65"/>
      <c r="R182" s="83" t="s">
        <v>639</v>
      </c>
      <c r="S182" s="85">
        <v>2504</v>
      </c>
      <c r="T182" s="5" t="s">
        <v>1410</v>
      </c>
      <c r="U182" s="5" t="s">
        <v>928</v>
      </c>
      <c r="V182" s="5" t="s">
        <v>926</v>
      </c>
      <c r="W182" s="5" t="s">
        <v>928</v>
      </c>
      <c r="X182" s="2"/>
    </row>
    <row r="183" spans="1:24" x14ac:dyDescent="0.25">
      <c r="A183" s="44" t="str">
        <f t="shared" si="12"/>
        <v>....D.10.c. - Other chronic kidney disease</v>
      </c>
      <c r="B183" s="2">
        <v>172</v>
      </c>
      <c r="C183" s="33" t="s">
        <v>741</v>
      </c>
      <c r="D183" s="6" t="s">
        <v>1140</v>
      </c>
      <c r="E183" s="26" t="s">
        <v>1153</v>
      </c>
      <c r="F183" s="6" t="s">
        <v>1129</v>
      </c>
      <c r="G183" s="40" t="str">
        <f t="shared" si="18"/>
        <v>cD10c</v>
      </c>
      <c r="H183" s="40" t="str">
        <f>CONCATENATE(D183,E183,F183)</f>
        <v>D10c</v>
      </c>
      <c r="I183" s="5"/>
      <c r="J183" s="5"/>
      <c r="K183" s="5" t="s">
        <v>957</v>
      </c>
      <c r="L183" s="49" t="s">
        <v>959</v>
      </c>
      <c r="M183" s="49"/>
      <c r="N183" s="49" t="s">
        <v>959</v>
      </c>
      <c r="O183" s="59" t="s">
        <v>957</v>
      </c>
      <c r="P183" s="64" t="s">
        <v>959</v>
      </c>
      <c r="Q183" s="65"/>
      <c r="R183" s="83" t="s">
        <v>640</v>
      </c>
      <c r="S183" s="85">
        <v>589</v>
      </c>
      <c r="T183" s="5" t="s">
        <v>927</v>
      </c>
      <c r="U183" s="5" t="s">
        <v>741</v>
      </c>
      <c r="V183" s="5" t="s">
        <v>927</v>
      </c>
      <c r="W183" s="5" t="s">
        <v>741</v>
      </c>
      <c r="X183" s="2"/>
    </row>
    <row r="184" spans="1:24" x14ac:dyDescent="0.25">
      <c r="A184" s="44" t="str">
        <f t="shared" si="12"/>
        <v/>
      </c>
      <c r="B184" s="2">
        <v>173</v>
      </c>
      <c r="C184" s="36" t="s">
        <v>742</v>
      </c>
      <c r="D184" s="6" t="s">
        <v>1140</v>
      </c>
      <c r="E184" s="26">
        <v>99</v>
      </c>
      <c r="F184" s="6"/>
      <c r="G184" s="40" t="str">
        <f t="shared" si="18"/>
        <v>cD99</v>
      </c>
      <c r="H184" s="40"/>
      <c r="I184" s="5"/>
      <c r="J184" s="5"/>
      <c r="K184" s="5" t="s">
        <v>478</v>
      </c>
      <c r="L184" s="49" t="s">
        <v>478</v>
      </c>
      <c r="M184" s="49"/>
      <c r="N184" s="49"/>
      <c r="O184" s="59" t="s">
        <v>478</v>
      </c>
      <c r="P184" s="64" t="s">
        <v>478</v>
      </c>
      <c r="Q184" s="65"/>
      <c r="R184" s="83"/>
      <c r="S184" s="83"/>
      <c r="T184" s="5" t="s">
        <v>884</v>
      </c>
      <c r="U184" s="50" t="s">
        <v>742</v>
      </c>
      <c r="V184" s="5" t="s">
        <v>884</v>
      </c>
      <c r="W184" s="51" t="s">
        <v>742</v>
      </c>
      <c r="X184" s="2"/>
    </row>
    <row r="185" spans="1:24" x14ac:dyDescent="0.25">
      <c r="A185" s="44" t="str">
        <f t="shared" si="12"/>
        <v/>
      </c>
      <c r="B185" s="2">
        <v>174</v>
      </c>
      <c r="C185" s="36" t="s">
        <v>110</v>
      </c>
      <c r="D185" s="6" t="s">
        <v>1140</v>
      </c>
      <c r="E185" s="26">
        <v>99</v>
      </c>
      <c r="F185" s="6"/>
      <c r="G185" s="40" t="str">
        <f t="shared" si="18"/>
        <v>cD99</v>
      </c>
      <c r="H185" s="40"/>
      <c r="I185" s="5"/>
      <c r="J185" s="5"/>
      <c r="K185" s="5" t="s">
        <v>479</v>
      </c>
      <c r="L185" s="49" t="s">
        <v>849</v>
      </c>
      <c r="M185" s="49"/>
      <c r="N185" s="49"/>
      <c r="O185" s="59" t="s">
        <v>479</v>
      </c>
      <c r="P185" s="64" t="s">
        <v>849</v>
      </c>
      <c r="Q185" s="65"/>
      <c r="R185" s="83" t="s">
        <v>641</v>
      </c>
      <c r="S185" s="83" t="s">
        <v>1017</v>
      </c>
      <c r="T185" s="5" t="s">
        <v>288</v>
      </c>
      <c r="U185" s="50" t="s">
        <v>110</v>
      </c>
      <c r="V185" s="5" t="s">
        <v>288</v>
      </c>
      <c r="W185" s="51" t="s">
        <v>110</v>
      </c>
      <c r="X185" s="2"/>
    </row>
    <row r="186" spans="1:24" ht="24" x14ac:dyDescent="0.25">
      <c r="A186" s="44" t="str">
        <f t="shared" si="12"/>
        <v/>
      </c>
      <c r="B186" s="2">
        <v>175</v>
      </c>
      <c r="C186" s="36" t="s">
        <v>743</v>
      </c>
      <c r="D186" s="6" t="s">
        <v>1140</v>
      </c>
      <c r="E186" s="26">
        <v>99</v>
      </c>
      <c r="F186" s="6"/>
      <c r="G186" s="40" t="str">
        <f t="shared" si="18"/>
        <v>cD99</v>
      </c>
      <c r="H186" s="40"/>
      <c r="I186" s="5"/>
      <c r="J186" s="5"/>
      <c r="K186" s="5" t="s">
        <v>480</v>
      </c>
      <c r="L186" s="49" t="s">
        <v>850</v>
      </c>
      <c r="M186" s="49"/>
      <c r="N186" s="49"/>
      <c r="O186" s="59" t="s">
        <v>480</v>
      </c>
      <c r="P186" s="64" t="s">
        <v>850</v>
      </c>
      <c r="Q186" s="65"/>
      <c r="R186" s="83" t="s">
        <v>1018</v>
      </c>
      <c r="S186" s="83" t="s">
        <v>1053</v>
      </c>
      <c r="T186" s="5" t="s">
        <v>883</v>
      </c>
      <c r="U186" s="50" t="s">
        <v>111</v>
      </c>
      <c r="V186" s="5" t="s">
        <v>883</v>
      </c>
      <c r="W186" s="51" t="s">
        <v>111</v>
      </c>
      <c r="X186" s="2"/>
    </row>
    <row r="187" spans="1:24" x14ac:dyDescent="0.25">
      <c r="A187" s="44" t="str">
        <f t="shared" si="12"/>
        <v/>
      </c>
      <c r="B187" s="2">
        <v>176</v>
      </c>
      <c r="C187" s="36" t="s">
        <v>112</v>
      </c>
      <c r="D187" s="6" t="s">
        <v>1140</v>
      </c>
      <c r="E187" s="26">
        <v>99</v>
      </c>
      <c r="F187" s="6"/>
      <c r="G187" s="40" t="str">
        <f t="shared" si="18"/>
        <v>cD99</v>
      </c>
      <c r="H187" s="40"/>
      <c r="I187" s="5"/>
      <c r="J187" s="5"/>
      <c r="K187" s="5" t="s">
        <v>481</v>
      </c>
      <c r="L187" s="49" t="s">
        <v>851</v>
      </c>
      <c r="M187" s="49"/>
      <c r="N187" s="49"/>
      <c r="O187" s="59" t="s">
        <v>481</v>
      </c>
      <c r="P187" s="64" t="s">
        <v>851</v>
      </c>
      <c r="Q187" s="65"/>
      <c r="R187" s="83" t="s">
        <v>1019</v>
      </c>
      <c r="S187" s="83" t="s">
        <v>1020</v>
      </c>
      <c r="T187" s="5" t="s">
        <v>289</v>
      </c>
      <c r="U187" s="50" t="s">
        <v>112</v>
      </c>
      <c r="V187" s="5" t="s">
        <v>289</v>
      </c>
      <c r="W187" s="51" t="s">
        <v>112</v>
      </c>
      <c r="X187" s="2"/>
    </row>
    <row r="188" spans="1:24" ht="16.5" x14ac:dyDescent="0.25">
      <c r="A188" s="44" t="str">
        <f t="shared" si="12"/>
        <v/>
      </c>
      <c r="B188" s="2">
        <v>177</v>
      </c>
      <c r="C188" s="36" t="s">
        <v>113</v>
      </c>
      <c r="D188" s="6" t="s">
        <v>1140</v>
      </c>
      <c r="E188" s="26">
        <v>99</v>
      </c>
      <c r="F188" s="6"/>
      <c r="G188" s="40" t="str">
        <f t="shared" si="18"/>
        <v>cD99</v>
      </c>
      <c r="H188" s="40"/>
      <c r="I188" s="5"/>
      <c r="J188" s="5"/>
      <c r="K188" s="5" t="s">
        <v>482</v>
      </c>
      <c r="L188" s="49" t="s">
        <v>852</v>
      </c>
      <c r="M188" s="49"/>
      <c r="N188" s="49"/>
      <c r="O188" s="59" t="s">
        <v>482</v>
      </c>
      <c r="P188" s="64" t="s">
        <v>852</v>
      </c>
      <c r="Q188" s="65"/>
      <c r="R188" s="83" t="s">
        <v>642</v>
      </c>
      <c r="S188" s="83" t="s">
        <v>1016</v>
      </c>
      <c r="T188" s="5" t="s">
        <v>290</v>
      </c>
      <c r="U188" s="50" t="s">
        <v>113</v>
      </c>
      <c r="V188" s="5" t="s">
        <v>290</v>
      </c>
      <c r="W188" s="51" t="s">
        <v>113</v>
      </c>
      <c r="X188" s="2"/>
    </row>
    <row r="189" spans="1:24" x14ac:dyDescent="0.25">
      <c r="A189" s="44" t="str">
        <f t="shared" si="12"/>
        <v/>
      </c>
      <c r="B189" s="2">
        <v>178</v>
      </c>
      <c r="C189" s="35" t="s">
        <v>114</v>
      </c>
      <c r="D189" s="6" t="s">
        <v>1140</v>
      </c>
      <c r="E189" s="26">
        <v>99</v>
      </c>
      <c r="F189" s="6"/>
      <c r="G189" s="40" t="str">
        <f t="shared" si="18"/>
        <v>cD99</v>
      </c>
      <c r="H189" s="40"/>
      <c r="K189" s="5" t="s">
        <v>483</v>
      </c>
      <c r="L189" s="49" t="s">
        <v>853</v>
      </c>
      <c r="M189" s="49"/>
      <c r="N189" s="49"/>
      <c r="O189" s="59" t="s">
        <v>483</v>
      </c>
      <c r="P189" s="64" t="s">
        <v>853</v>
      </c>
      <c r="Q189" s="65"/>
      <c r="R189" s="83" t="s">
        <v>644</v>
      </c>
      <c r="S189" s="83" t="s">
        <v>643</v>
      </c>
      <c r="T189" s="5" t="s">
        <v>291</v>
      </c>
      <c r="U189" s="20" t="s">
        <v>114</v>
      </c>
      <c r="V189" s="5" t="s">
        <v>291</v>
      </c>
      <c r="W189" s="45" t="s">
        <v>114</v>
      </c>
      <c r="X189" s="2"/>
    </row>
    <row r="190" spans="1:24" x14ac:dyDescent="0.25">
      <c r="A190" s="44" t="str">
        <f t="shared" si="12"/>
        <v/>
      </c>
      <c r="B190" s="2">
        <v>179</v>
      </c>
      <c r="C190" s="35" t="s">
        <v>115</v>
      </c>
      <c r="D190" s="6" t="s">
        <v>952</v>
      </c>
      <c r="E190" s="26" t="s">
        <v>952</v>
      </c>
      <c r="F190" s="6"/>
      <c r="G190" s="40" t="s">
        <v>952</v>
      </c>
      <c r="H190" s="40"/>
      <c r="I190" s="5"/>
      <c r="J190" s="5"/>
      <c r="K190" s="5" t="s">
        <v>952</v>
      </c>
      <c r="L190" s="19" t="s">
        <v>952</v>
      </c>
      <c r="M190" s="19"/>
      <c r="N190" s="19"/>
      <c r="O190" s="59" t="s">
        <v>484</v>
      </c>
      <c r="P190" s="62" t="s">
        <v>854</v>
      </c>
      <c r="Q190" s="63"/>
      <c r="R190" s="83" t="s">
        <v>645</v>
      </c>
      <c r="S190" s="83" t="s">
        <v>677</v>
      </c>
      <c r="T190" s="2" t="s">
        <v>292</v>
      </c>
      <c r="U190" s="20" t="s">
        <v>115</v>
      </c>
      <c r="V190" s="2" t="s">
        <v>292</v>
      </c>
      <c r="W190" s="45" t="s">
        <v>115</v>
      </c>
      <c r="X190" s="2"/>
    </row>
    <row r="191" spans="1:24" x14ac:dyDescent="0.25">
      <c r="A191" s="44" t="str">
        <f t="shared" si="12"/>
        <v/>
      </c>
      <c r="B191" s="2">
        <v>180</v>
      </c>
      <c r="C191" s="36" t="s">
        <v>116</v>
      </c>
      <c r="D191" s="6" t="s">
        <v>1140</v>
      </c>
      <c r="E191" s="26">
        <v>99</v>
      </c>
      <c r="F191" s="6"/>
      <c r="G191" s="40" t="str">
        <f>CONCATENATE("c",D191,E191,F191)</f>
        <v>cD99</v>
      </c>
      <c r="H191" s="40"/>
      <c r="I191" s="5"/>
      <c r="J191" s="5"/>
      <c r="K191" s="5" t="s">
        <v>485</v>
      </c>
      <c r="L191" s="49" t="s">
        <v>855</v>
      </c>
      <c r="M191" s="49"/>
      <c r="N191" s="49"/>
      <c r="O191" s="59" t="s">
        <v>485</v>
      </c>
      <c r="P191" s="64" t="s">
        <v>855</v>
      </c>
      <c r="Q191" s="65"/>
      <c r="R191" s="83" t="s">
        <v>646</v>
      </c>
      <c r="S191" s="83" t="s">
        <v>1014</v>
      </c>
      <c r="T191" s="5" t="s">
        <v>293</v>
      </c>
      <c r="U191" s="50" t="s">
        <v>116</v>
      </c>
      <c r="V191" s="5" t="s">
        <v>293</v>
      </c>
      <c r="W191" s="51" t="s">
        <v>116</v>
      </c>
      <c r="X191" s="2"/>
    </row>
    <row r="192" spans="1:24" x14ac:dyDescent="0.25">
      <c r="A192" s="44" t="str">
        <f t="shared" si="12"/>
        <v/>
      </c>
      <c r="B192" s="2">
        <v>181</v>
      </c>
      <c r="C192" s="36" t="s">
        <v>117</v>
      </c>
      <c r="D192" s="6" t="s">
        <v>1140</v>
      </c>
      <c r="E192" s="26">
        <v>99</v>
      </c>
      <c r="F192" s="6"/>
      <c r="G192" s="40" t="str">
        <f>CONCATENATE("c",D192,E192,F192)</f>
        <v>cD99</v>
      </c>
      <c r="H192" s="40"/>
      <c r="I192" s="5"/>
      <c r="J192" s="5"/>
      <c r="K192" s="5" t="s">
        <v>486</v>
      </c>
      <c r="L192" s="49" t="s">
        <v>856</v>
      </c>
      <c r="M192" s="49"/>
      <c r="N192" s="49"/>
      <c r="O192" s="59" t="s">
        <v>486</v>
      </c>
      <c r="P192" s="64" t="s">
        <v>856</v>
      </c>
      <c r="Q192" s="65"/>
      <c r="R192" s="83"/>
      <c r="S192" s="83"/>
      <c r="T192" s="5" t="s">
        <v>294</v>
      </c>
      <c r="U192" s="50" t="s">
        <v>117</v>
      </c>
      <c r="V192" s="5" t="s">
        <v>294</v>
      </c>
      <c r="W192" s="51" t="s">
        <v>117</v>
      </c>
      <c r="X192" s="2"/>
    </row>
    <row r="193" spans="1:24" x14ac:dyDescent="0.25">
      <c r="A193" s="44" t="str">
        <f t="shared" si="12"/>
        <v/>
      </c>
      <c r="B193" s="2">
        <v>182</v>
      </c>
      <c r="C193" s="36" t="s">
        <v>118</v>
      </c>
      <c r="D193" s="6" t="s">
        <v>1140</v>
      </c>
      <c r="E193" s="26">
        <v>99</v>
      </c>
      <c r="F193" s="6"/>
      <c r="G193" s="40" t="str">
        <f>CONCATENATE("c",D193,E193,F193)</f>
        <v>cD99</v>
      </c>
      <c r="H193" s="40"/>
      <c r="I193" s="5"/>
      <c r="J193" s="5"/>
      <c r="K193" s="5" t="s">
        <v>487</v>
      </c>
      <c r="L193" s="49" t="s">
        <v>487</v>
      </c>
      <c r="M193" s="49"/>
      <c r="N193" s="49"/>
      <c r="O193" s="59" t="s">
        <v>487</v>
      </c>
      <c r="P193" s="64" t="s">
        <v>487</v>
      </c>
      <c r="Q193" s="65"/>
      <c r="R193" s="83"/>
      <c r="S193" s="83"/>
      <c r="T193" s="5" t="s">
        <v>295</v>
      </c>
      <c r="U193" s="50" t="s">
        <v>118</v>
      </c>
      <c r="V193" s="5" t="s">
        <v>295</v>
      </c>
      <c r="W193" s="51" t="s">
        <v>118</v>
      </c>
      <c r="X193" s="2"/>
    </row>
    <row r="194" spans="1:24" x14ac:dyDescent="0.25">
      <c r="A194" s="44" t="str">
        <f t="shared" si="12"/>
        <v/>
      </c>
      <c r="B194" s="2">
        <v>183</v>
      </c>
      <c r="C194" s="36" t="s">
        <v>119</v>
      </c>
      <c r="D194" s="6" t="s">
        <v>1140</v>
      </c>
      <c r="E194" s="26">
        <v>99</v>
      </c>
      <c r="F194" s="6"/>
      <c r="G194" s="40" t="str">
        <f>CONCATENATE("c",D194,E194,F194)</f>
        <v>cD99</v>
      </c>
      <c r="H194" s="40"/>
      <c r="I194" s="5"/>
      <c r="J194" s="5"/>
      <c r="K194" s="5" t="s">
        <v>488</v>
      </c>
      <c r="L194" s="49" t="s">
        <v>857</v>
      </c>
      <c r="M194" s="49"/>
      <c r="N194" s="49"/>
      <c r="O194" s="59" t="s">
        <v>488</v>
      </c>
      <c r="P194" s="64" t="s">
        <v>857</v>
      </c>
      <c r="Q194" s="65"/>
      <c r="R194" s="83"/>
      <c r="S194" s="83"/>
      <c r="T194" s="5" t="s">
        <v>296</v>
      </c>
      <c r="U194" s="50" t="s">
        <v>119</v>
      </c>
      <c r="V194" s="5" t="s">
        <v>296</v>
      </c>
      <c r="W194" s="51" t="s">
        <v>119</v>
      </c>
      <c r="X194" s="2"/>
    </row>
    <row r="195" spans="1:24" ht="25.5" x14ac:dyDescent="0.25">
      <c r="A195" s="44" t="str">
        <f t="shared" si="12"/>
        <v/>
      </c>
      <c r="B195" s="2">
        <v>184</v>
      </c>
      <c r="C195" s="36" t="s">
        <v>120</v>
      </c>
      <c r="D195" s="6" t="s">
        <v>1140</v>
      </c>
      <c r="E195" s="26">
        <v>99</v>
      </c>
      <c r="F195" s="6"/>
      <c r="G195" s="40" t="str">
        <f>CONCATENATE("c",D195,E195,F195)</f>
        <v>cD99</v>
      </c>
      <c r="H195" s="40"/>
      <c r="I195" s="5" t="s">
        <v>1307</v>
      </c>
      <c r="J195" s="5" t="s">
        <v>1231</v>
      </c>
      <c r="K195" s="5" t="s">
        <v>1197</v>
      </c>
      <c r="L195" s="49" t="s">
        <v>1198</v>
      </c>
      <c r="M195" s="49"/>
      <c r="N195" s="49"/>
      <c r="O195" s="59" t="s">
        <v>489</v>
      </c>
      <c r="P195" s="64" t="s">
        <v>858</v>
      </c>
      <c r="Q195" s="65"/>
      <c r="R195" s="83" t="s">
        <v>647</v>
      </c>
      <c r="S195" s="83" t="s">
        <v>1015</v>
      </c>
      <c r="T195" s="5" t="s">
        <v>297</v>
      </c>
      <c r="U195" s="50" t="s">
        <v>120</v>
      </c>
      <c r="V195" s="5" t="s">
        <v>297</v>
      </c>
      <c r="W195" s="51" t="s">
        <v>120</v>
      </c>
      <c r="X195" s="2"/>
    </row>
    <row r="196" spans="1:24" x14ac:dyDescent="0.25">
      <c r="A196" s="44" t="str">
        <f t="shared" ref="A196:A232" si="19">IF(H196&lt;&gt;"",IF(F196&lt;&gt;"",CONCATENATE("....",D196,".",E196,".",F196,". - ",T196),IF(E196&lt;&gt;"",CONCATENATE("...",D196,".",E196,". - ",T196),CONCATENATE("..",D196,". - ",T196))),"")</f>
        <v>...D.12. - Congenital anomalies</v>
      </c>
      <c r="B196" s="2">
        <v>185</v>
      </c>
      <c r="C196" s="35" t="s">
        <v>121</v>
      </c>
      <c r="D196" s="6" t="s">
        <v>1140</v>
      </c>
      <c r="E196" s="26" t="s">
        <v>1151</v>
      </c>
      <c r="F196" s="6"/>
      <c r="G196" s="40" t="s">
        <v>952</v>
      </c>
      <c r="H196" s="40" t="str">
        <f>CONCATENATE(D196,E196,F196)</f>
        <v>D12</v>
      </c>
      <c r="I196" s="5"/>
      <c r="J196" s="5"/>
      <c r="K196" s="5" t="s">
        <v>952</v>
      </c>
      <c r="L196" s="19" t="s">
        <v>952</v>
      </c>
      <c r="M196" s="19"/>
      <c r="N196" s="19"/>
      <c r="O196" s="59" t="s">
        <v>490</v>
      </c>
      <c r="P196" s="62" t="s">
        <v>859</v>
      </c>
      <c r="Q196" s="63"/>
      <c r="R196" s="83" t="s">
        <v>649</v>
      </c>
      <c r="S196" s="83" t="s">
        <v>648</v>
      </c>
      <c r="T196" s="2" t="s">
        <v>298</v>
      </c>
      <c r="U196" s="20" t="s">
        <v>121</v>
      </c>
      <c r="V196" s="2" t="s">
        <v>298</v>
      </c>
      <c r="W196" s="45" t="s">
        <v>121</v>
      </c>
      <c r="X196" s="2"/>
    </row>
    <row r="197" spans="1:24" x14ac:dyDescent="0.25">
      <c r="A197" s="44" t="str">
        <f t="shared" si="19"/>
        <v/>
      </c>
      <c r="B197" s="2">
        <v>186</v>
      </c>
      <c r="C197" s="36" t="s">
        <v>122</v>
      </c>
      <c r="D197" s="6" t="s">
        <v>1140</v>
      </c>
      <c r="E197" s="26" t="s">
        <v>1151</v>
      </c>
      <c r="F197" s="6"/>
      <c r="G197" s="40" t="str">
        <f t="shared" ref="G197:G202" si="20">CONCATENATE("c",D197,E197,F197)</f>
        <v>cD12</v>
      </c>
      <c r="H197" s="40"/>
      <c r="I197" s="5"/>
      <c r="J197" s="5"/>
      <c r="K197" s="5" t="s">
        <v>491</v>
      </c>
      <c r="L197" s="49" t="s">
        <v>860</v>
      </c>
      <c r="M197" s="49"/>
      <c r="N197" s="49"/>
      <c r="O197" s="59" t="s">
        <v>491</v>
      </c>
      <c r="P197" s="64" t="s">
        <v>860</v>
      </c>
      <c r="Q197" s="65"/>
      <c r="R197" s="83" t="s">
        <v>650</v>
      </c>
      <c r="S197" s="83" t="s">
        <v>1007</v>
      </c>
      <c r="T197" s="5" t="s">
        <v>299</v>
      </c>
      <c r="U197" s="50" t="s">
        <v>122</v>
      </c>
      <c r="V197" s="5" t="s">
        <v>299</v>
      </c>
      <c r="W197" s="51" t="s">
        <v>122</v>
      </c>
      <c r="X197" s="2"/>
    </row>
    <row r="198" spans="1:24" x14ac:dyDescent="0.25">
      <c r="A198" s="44" t="str">
        <f t="shared" si="19"/>
        <v/>
      </c>
      <c r="B198" s="2">
        <v>187</v>
      </c>
      <c r="C198" s="36" t="s">
        <v>123</v>
      </c>
      <c r="D198" s="6" t="s">
        <v>1140</v>
      </c>
      <c r="E198" s="26" t="s">
        <v>1151</v>
      </c>
      <c r="F198" s="6"/>
      <c r="G198" s="40" t="str">
        <f t="shared" si="20"/>
        <v>cD12</v>
      </c>
      <c r="H198" s="40"/>
      <c r="I198" s="5"/>
      <c r="J198" s="5"/>
      <c r="K198" s="5" t="s">
        <v>492</v>
      </c>
      <c r="L198" s="49" t="s">
        <v>861</v>
      </c>
      <c r="M198" s="49"/>
      <c r="N198" s="49"/>
      <c r="O198" s="59" t="s">
        <v>492</v>
      </c>
      <c r="P198" s="64" t="s">
        <v>861</v>
      </c>
      <c r="Q198" s="65"/>
      <c r="R198" s="83" t="s">
        <v>651</v>
      </c>
      <c r="S198" s="83" t="s">
        <v>1012</v>
      </c>
      <c r="T198" s="5" t="s">
        <v>300</v>
      </c>
      <c r="U198" s="50" t="s">
        <v>123</v>
      </c>
      <c r="V198" s="5" t="s">
        <v>300</v>
      </c>
      <c r="W198" s="51" t="s">
        <v>123</v>
      </c>
      <c r="X198" s="2"/>
    </row>
    <row r="199" spans="1:24" x14ac:dyDescent="0.25">
      <c r="A199" s="44" t="str">
        <f t="shared" si="19"/>
        <v/>
      </c>
      <c r="B199" s="2">
        <v>188</v>
      </c>
      <c r="C199" s="36" t="s">
        <v>124</v>
      </c>
      <c r="D199" s="6" t="s">
        <v>1140</v>
      </c>
      <c r="E199" s="26" t="s">
        <v>1151</v>
      </c>
      <c r="F199" s="6"/>
      <c r="G199" s="40" t="str">
        <f t="shared" si="20"/>
        <v>cD12</v>
      </c>
      <c r="H199" s="40"/>
      <c r="I199" s="5"/>
      <c r="J199" s="5"/>
      <c r="K199" s="5" t="s">
        <v>493</v>
      </c>
      <c r="L199" s="49" t="s">
        <v>493</v>
      </c>
      <c r="M199" s="49"/>
      <c r="N199" s="49"/>
      <c r="O199" s="59" t="s">
        <v>493</v>
      </c>
      <c r="P199" s="64" t="s">
        <v>493</v>
      </c>
      <c r="Q199" s="65"/>
      <c r="R199" s="85">
        <v>758</v>
      </c>
      <c r="S199" s="85">
        <v>758</v>
      </c>
      <c r="T199" s="5" t="s">
        <v>301</v>
      </c>
      <c r="U199" s="50" t="s">
        <v>124</v>
      </c>
      <c r="V199" s="5" t="s">
        <v>301</v>
      </c>
      <c r="W199" s="51" t="s">
        <v>124</v>
      </c>
      <c r="X199" s="2"/>
    </row>
    <row r="200" spans="1:24" x14ac:dyDescent="0.25">
      <c r="A200" s="44" t="str">
        <f t="shared" si="19"/>
        <v/>
      </c>
      <c r="B200" s="2">
        <v>189</v>
      </c>
      <c r="C200" s="36" t="s">
        <v>125</v>
      </c>
      <c r="D200" s="6" t="s">
        <v>1140</v>
      </c>
      <c r="E200" s="26" t="s">
        <v>1151</v>
      </c>
      <c r="F200" s="6"/>
      <c r="G200" s="40" t="str">
        <f t="shared" si="20"/>
        <v>cD12</v>
      </c>
      <c r="H200" s="40"/>
      <c r="I200" s="5"/>
      <c r="J200" s="5"/>
      <c r="K200" s="5" t="s">
        <v>494</v>
      </c>
      <c r="L200" s="49" t="s">
        <v>862</v>
      </c>
      <c r="M200" s="49"/>
      <c r="N200" s="49"/>
      <c r="O200" s="59" t="s">
        <v>494</v>
      </c>
      <c r="P200" s="64" t="s">
        <v>862</v>
      </c>
      <c r="Q200" s="65"/>
      <c r="R200" s="83" t="s">
        <v>652</v>
      </c>
      <c r="S200" s="83" t="s">
        <v>1010</v>
      </c>
      <c r="T200" s="5" t="s">
        <v>302</v>
      </c>
      <c r="U200" s="50" t="s">
        <v>125</v>
      </c>
      <c r="V200" s="5" t="s">
        <v>302</v>
      </c>
      <c r="W200" s="51" t="s">
        <v>125</v>
      </c>
      <c r="X200" s="2"/>
    </row>
    <row r="201" spans="1:24" x14ac:dyDescent="0.25">
      <c r="A201" s="44" t="str">
        <f t="shared" si="19"/>
        <v/>
      </c>
      <c r="B201" s="2">
        <v>190</v>
      </c>
      <c r="C201" s="36" t="s">
        <v>126</v>
      </c>
      <c r="D201" s="6" t="s">
        <v>1140</v>
      </c>
      <c r="E201" s="26" t="s">
        <v>1151</v>
      </c>
      <c r="F201" s="6"/>
      <c r="G201" s="40" t="str">
        <f t="shared" si="20"/>
        <v>cD12</v>
      </c>
      <c r="H201" s="40"/>
      <c r="I201" s="5"/>
      <c r="J201" s="5"/>
      <c r="K201" s="5" t="s">
        <v>495</v>
      </c>
      <c r="L201" s="49" t="s">
        <v>863</v>
      </c>
      <c r="M201" s="49"/>
      <c r="N201" s="49"/>
      <c r="O201" s="59" t="s">
        <v>495</v>
      </c>
      <c r="P201" s="64" t="s">
        <v>863</v>
      </c>
      <c r="Q201" s="65"/>
      <c r="R201" s="83" t="s">
        <v>1008</v>
      </c>
      <c r="S201" s="83" t="s">
        <v>1009</v>
      </c>
      <c r="T201" s="5" t="s">
        <v>303</v>
      </c>
      <c r="U201" s="50" t="s">
        <v>126</v>
      </c>
      <c r="V201" s="5" t="s">
        <v>303</v>
      </c>
      <c r="W201" s="51" t="s">
        <v>126</v>
      </c>
      <c r="X201" s="2"/>
    </row>
    <row r="202" spans="1:24" ht="25.5" x14ac:dyDescent="0.25">
      <c r="A202" s="44" t="str">
        <f t="shared" si="19"/>
        <v/>
      </c>
      <c r="B202" s="2">
        <v>191</v>
      </c>
      <c r="C202" s="36" t="s">
        <v>127</v>
      </c>
      <c r="D202" s="6" t="s">
        <v>1140</v>
      </c>
      <c r="E202" s="26" t="s">
        <v>1151</v>
      </c>
      <c r="F202" s="6"/>
      <c r="G202" s="40" t="str">
        <f t="shared" si="20"/>
        <v>cD12</v>
      </c>
      <c r="H202" s="40"/>
      <c r="I202" s="5"/>
      <c r="J202" s="5"/>
      <c r="K202" s="5" t="s">
        <v>496</v>
      </c>
      <c r="L202" s="49" t="s">
        <v>864</v>
      </c>
      <c r="M202" s="49"/>
      <c r="N202" s="49"/>
      <c r="O202" s="59" t="s">
        <v>496</v>
      </c>
      <c r="P202" s="64" t="s">
        <v>864</v>
      </c>
      <c r="Q202" s="65"/>
      <c r="R202" s="83" t="s">
        <v>653</v>
      </c>
      <c r="S202" s="83" t="s">
        <v>1011</v>
      </c>
      <c r="T202" s="5" t="s">
        <v>304</v>
      </c>
      <c r="U202" s="50" t="s">
        <v>127</v>
      </c>
      <c r="V202" s="5" t="s">
        <v>304</v>
      </c>
      <c r="W202" s="51" t="s">
        <v>127</v>
      </c>
      <c r="X202" s="2"/>
    </row>
    <row r="203" spans="1:24" x14ac:dyDescent="0.25">
      <c r="A203" s="44" t="str">
        <f t="shared" si="19"/>
        <v/>
      </c>
      <c r="B203" s="2">
        <v>192</v>
      </c>
      <c r="C203" s="35" t="s">
        <v>128</v>
      </c>
      <c r="D203" s="6" t="s">
        <v>952</v>
      </c>
      <c r="E203" s="26"/>
      <c r="F203" s="6"/>
      <c r="G203" s="40" t="s">
        <v>952</v>
      </c>
      <c r="H203" s="40"/>
      <c r="I203" s="5"/>
      <c r="J203" s="5"/>
      <c r="K203" s="5" t="s">
        <v>952</v>
      </c>
      <c r="L203" s="19" t="s">
        <v>952</v>
      </c>
      <c r="M203" s="19"/>
      <c r="N203" s="19"/>
      <c r="O203" s="59" t="s">
        <v>497</v>
      </c>
      <c r="P203" s="62" t="s">
        <v>865</v>
      </c>
      <c r="Q203" s="63"/>
      <c r="R203" s="83"/>
      <c r="S203" s="83"/>
      <c r="T203" s="2" t="s">
        <v>305</v>
      </c>
      <c r="U203" s="20" t="s">
        <v>128</v>
      </c>
      <c r="V203" s="2" t="s">
        <v>305</v>
      </c>
      <c r="W203" s="45" t="s">
        <v>128</v>
      </c>
      <c r="X203" s="2"/>
    </row>
    <row r="204" spans="1:24" x14ac:dyDescent="0.25">
      <c r="A204" s="44" t="str">
        <f t="shared" si="19"/>
        <v/>
      </c>
      <c r="B204" s="2">
        <v>193</v>
      </c>
      <c r="C204" s="36" t="s">
        <v>129</v>
      </c>
      <c r="D204" s="6" t="s">
        <v>1140</v>
      </c>
      <c r="E204" s="26">
        <v>99</v>
      </c>
      <c r="F204" s="6"/>
      <c r="G204" s="40" t="str">
        <f>CONCATENATE("c",D204,E204,F204)</f>
        <v>cD99</v>
      </c>
      <c r="H204" s="40"/>
      <c r="I204" s="5"/>
      <c r="J204" s="5"/>
      <c r="K204" s="5" t="s">
        <v>866</v>
      </c>
      <c r="L204" s="19" t="s">
        <v>866</v>
      </c>
      <c r="M204" s="19"/>
      <c r="N204" s="19"/>
      <c r="O204" s="59" t="s">
        <v>866</v>
      </c>
      <c r="P204" s="66" t="s">
        <v>866</v>
      </c>
      <c r="Q204" s="67"/>
      <c r="R204" s="83"/>
      <c r="S204" s="83"/>
      <c r="T204" s="5" t="s">
        <v>306</v>
      </c>
      <c r="U204" s="50" t="s">
        <v>129</v>
      </c>
      <c r="V204" s="5" t="s">
        <v>306</v>
      </c>
      <c r="W204" s="51" t="s">
        <v>129</v>
      </c>
      <c r="X204" s="2"/>
    </row>
    <row r="205" spans="1:24" x14ac:dyDescent="0.25">
      <c r="A205" s="44" t="str">
        <f t="shared" si="19"/>
        <v/>
      </c>
      <c r="B205" s="2">
        <v>194</v>
      </c>
      <c r="C205" s="36" t="s">
        <v>130</v>
      </c>
      <c r="D205" s="6" t="s">
        <v>1140</v>
      </c>
      <c r="E205" s="26">
        <v>99</v>
      </c>
      <c r="F205" s="6"/>
      <c r="G205" s="40" t="str">
        <f>CONCATENATE("c",D205,E205,F205)</f>
        <v>cD99</v>
      </c>
      <c r="H205" s="40"/>
      <c r="I205" s="5"/>
      <c r="J205" s="5"/>
      <c r="K205" s="5" t="s">
        <v>498</v>
      </c>
      <c r="L205" s="49" t="s">
        <v>498</v>
      </c>
      <c r="M205" s="49"/>
      <c r="N205" s="49"/>
      <c r="O205" s="59" t="s">
        <v>498</v>
      </c>
      <c r="P205" s="64" t="s">
        <v>498</v>
      </c>
      <c r="Q205" s="65"/>
      <c r="R205" s="83"/>
      <c r="S205" s="83"/>
      <c r="T205" s="5" t="s">
        <v>307</v>
      </c>
      <c r="U205" s="50" t="s">
        <v>130</v>
      </c>
      <c r="V205" s="5" t="s">
        <v>307</v>
      </c>
      <c r="W205" s="51" t="s">
        <v>130</v>
      </c>
      <c r="X205" s="2"/>
    </row>
    <row r="206" spans="1:24" x14ac:dyDescent="0.25">
      <c r="A206" s="44" t="str">
        <f t="shared" si="19"/>
        <v/>
      </c>
      <c r="B206" s="2">
        <v>195</v>
      </c>
      <c r="C206" s="36" t="s">
        <v>131</v>
      </c>
      <c r="D206" s="6" t="s">
        <v>1140</v>
      </c>
      <c r="E206" s="26">
        <v>99</v>
      </c>
      <c r="F206" s="6"/>
      <c r="G206" s="40" t="str">
        <f>CONCATENATE("c",D206,E206,F206)</f>
        <v>cD99</v>
      </c>
      <c r="H206" s="40"/>
      <c r="I206" s="5"/>
      <c r="J206" s="5"/>
      <c r="K206" s="5" t="s">
        <v>499</v>
      </c>
      <c r="L206" s="49" t="s">
        <v>867</v>
      </c>
      <c r="M206" s="49"/>
      <c r="N206" s="49"/>
      <c r="O206" s="59" t="s">
        <v>499</v>
      </c>
      <c r="P206" s="64" t="s">
        <v>867</v>
      </c>
      <c r="Q206" s="65"/>
      <c r="R206" s="83"/>
      <c r="S206" s="83"/>
      <c r="T206" s="5" t="s">
        <v>308</v>
      </c>
      <c r="U206" s="50" t="s">
        <v>131</v>
      </c>
      <c r="V206" s="5" t="s">
        <v>308</v>
      </c>
      <c r="W206" s="51" t="s">
        <v>131</v>
      </c>
      <c r="X206" s="2"/>
    </row>
    <row r="207" spans="1:24" x14ac:dyDescent="0.25">
      <c r="A207" s="44" t="str">
        <f t="shared" si="19"/>
        <v/>
      </c>
      <c r="B207" s="2">
        <v>196</v>
      </c>
      <c r="C207" s="36" t="s">
        <v>744</v>
      </c>
      <c r="D207" s="6" t="s">
        <v>1140</v>
      </c>
      <c r="E207" s="26">
        <v>99</v>
      </c>
      <c r="F207" s="6"/>
      <c r="G207" s="40" t="str">
        <f>CONCATENATE("c",D207,E207,F207)</f>
        <v>cD99</v>
      </c>
      <c r="H207" s="40"/>
      <c r="I207" s="5"/>
      <c r="J207" s="5"/>
      <c r="K207" s="5" t="s">
        <v>992</v>
      </c>
      <c r="L207" s="49" t="s">
        <v>868</v>
      </c>
      <c r="M207" s="49"/>
      <c r="N207" s="49"/>
      <c r="O207" s="59" t="s">
        <v>992</v>
      </c>
      <c r="P207" s="64" t="s">
        <v>868</v>
      </c>
      <c r="Q207" s="65"/>
      <c r="R207" s="83"/>
      <c r="S207" s="83"/>
      <c r="T207" s="5" t="s">
        <v>882</v>
      </c>
      <c r="U207" s="50" t="s">
        <v>744</v>
      </c>
      <c r="V207" s="5" t="s">
        <v>882</v>
      </c>
      <c r="W207" s="51" t="s">
        <v>744</v>
      </c>
      <c r="X207" s="2"/>
    </row>
    <row r="208" spans="1:24" ht="24" x14ac:dyDescent="0.25">
      <c r="A208" s="44" t="str">
        <f t="shared" si="19"/>
        <v>..E. - Injuries</v>
      </c>
      <c r="B208" s="2">
        <v>197</v>
      </c>
      <c r="C208" s="29" t="s">
        <v>132</v>
      </c>
      <c r="D208" s="25" t="s">
        <v>1141</v>
      </c>
      <c r="E208" s="26"/>
      <c r="F208" s="6"/>
      <c r="G208" s="40"/>
      <c r="H208" s="40" t="str">
        <f>CONCATENATE(D208,E208,F208)</f>
        <v>E</v>
      </c>
      <c r="I208" s="5"/>
      <c r="J208" s="5"/>
      <c r="K208" s="5" t="s">
        <v>952</v>
      </c>
      <c r="L208" s="19" t="s">
        <v>952</v>
      </c>
      <c r="M208" s="19"/>
      <c r="N208" s="19"/>
      <c r="O208" s="59" t="s">
        <v>993</v>
      </c>
      <c r="P208" s="62" t="s">
        <v>1115</v>
      </c>
      <c r="Q208" s="62"/>
      <c r="R208" s="86" t="s">
        <v>1388</v>
      </c>
      <c r="S208" s="83" t="s">
        <v>654</v>
      </c>
      <c r="T208" s="2" t="s">
        <v>929</v>
      </c>
      <c r="U208" s="20" t="s">
        <v>132</v>
      </c>
      <c r="V208" s="2" t="s">
        <v>929</v>
      </c>
      <c r="W208" s="45" t="s">
        <v>132</v>
      </c>
      <c r="X208" s="2"/>
    </row>
    <row r="209" spans="1:24" ht="30" x14ac:dyDescent="0.25">
      <c r="A209" s="44" t="str">
        <f t="shared" si="19"/>
        <v/>
      </c>
      <c r="B209" s="2">
        <v>198</v>
      </c>
      <c r="C209" s="35" t="s">
        <v>133</v>
      </c>
      <c r="D209" s="6" t="s">
        <v>952</v>
      </c>
      <c r="E209" s="26" t="s">
        <v>952</v>
      </c>
      <c r="F209" s="6"/>
      <c r="G209" s="40"/>
      <c r="H209" s="40"/>
      <c r="I209" s="5"/>
      <c r="J209" s="5"/>
      <c r="K209" s="5" t="s">
        <v>952</v>
      </c>
      <c r="L209" s="19" t="s">
        <v>952</v>
      </c>
      <c r="M209" s="19"/>
      <c r="N209" s="19"/>
      <c r="O209" s="59" t="s">
        <v>994</v>
      </c>
      <c r="P209" s="62" t="s">
        <v>1114</v>
      </c>
      <c r="Q209" s="62"/>
      <c r="R209" s="83" t="s">
        <v>655</v>
      </c>
      <c r="S209" s="83" t="s">
        <v>676</v>
      </c>
      <c r="T209" s="2" t="s">
        <v>309</v>
      </c>
      <c r="U209" s="20" t="s">
        <v>133</v>
      </c>
      <c r="V209" s="2" t="s">
        <v>309</v>
      </c>
      <c r="W209" s="45" t="s">
        <v>133</v>
      </c>
      <c r="X209" s="2"/>
    </row>
    <row r="210" spans="1:24" ht="36" x14ac:dyDescent="0.25">
      <c r="A210" s="44" t="str">
        <f t="shared" si="19"/>
        <v>...E.01. - Road injury</v>
      </c>
      <c r="B210" s="2">
        <v>199</v>
      </c>
      <c r="C210" s="31" t="s">
        <v>134</v>
      </c>
      <c r="D210" s="6" t="s">
        <v>1141</v>
      </c>
      <c r="E210" s="26" t="s">
        <v>1142</v>
      </c>
      <c r="F210" s="88"/>
      <c r="G210" s="40" t="str">
        <f t="shared" ref="G210:G219" si="21">CONCATENATE("c",D210,E210,F210)</f>
        <v>cE01</v>
      </c>
      <c r="H210" s="40" t="str">
        <f>CONCATENATE(D210,E210,F210)</f>
        <v>E01</v>
      </c>
      <c r="I210" s="5" t="s">
        <v>1234</v>
      </c>
      <c r="J210" s="5" t="s">
        <v>1159</v>
      </c>
      <c r="K210" s="5" t="s">
        <v>1193</v>
      </c>
      <c r="L210" s="19" t="s">
        <v>1194</v>
      </c>
      <c r="M210" s="19"/>
      <c r="N210" s="19"/>
      <c r="O210" s="59" t="s">
        <v>500</v>
      </c>
      <c r="P210" s="64" t="s">
        <v>869</v>
      </c>
      <c r="Q210" s="65"/>
      <c r="R210" s="83" t="s">
        <v>656</v>
      </c>
      <c r="S210" s="83" t="s">
        <v>1004</v>
      </c>
      <c r="T210" s="5" t="s">
        <v>310</v>
      </c>
      <c r="U210" s="20" t="s">
        <v>134</v>
      </c>
      <c r="V210" s="5" t="s">
        <v>310</v>
      </c>
      <c r="W210" s="45" t="s">
        <v>134</v>
      </c>
      <c r="X210" s="2"/>
    </row>
    <row r="211" spans="1:24" ht="15" x14ac:dyDescent="0.25">
      <c r="A211" s="44" t="str">
        <f t="shared" si="19"/>
        <v>...E.02. - Drug poisonings</v>
      </c>
      <c r="B211" s="2"/>
      <c r="C211" s="31" t="s">
        <v>1380</v>
      </c>
      <c r="D211" s="6" t="s">
        <v>1141</v>
      </c>
      <c r="E211" s="26" t="s">
        <v>1143</v>
      </c>
      <c r="F211" s="88"/>
      <c r="G211" s="40" t="str">
        <f t="shared" si="21"/>
        <v>cE02</v>
      </c>
      <c r="H211" s="40" t="str">
        <f t="shared" ref="H211:H212" si="22">CONCATENATE(D211,E211,F211)</f>
        <v>E02</v>
      </c>
      <c r="I211" t="s">
        <v>952</v>
      </c>
      <c r="J211" s="5"/>
      <c r="K211" s="79" t="s">
        <v>1398</v>
      </c>
      <c r="L211" s="80" t="s">
        <v>1417</v>
      </c>
      <c r="M211" s="19"/>
      <c r="N211" s="19"/>
      <c r="O211" s="59"/>
      <c r="P211" s="64"/>
      <c r="Q211" s="65"/>
      <c r="R211" s="83"/>
      <c r="S211" s="83"/>
      <c r="T211" s="5" t="s">
        <v>1395</v>
      </c>
      <c r="U211" s="20"/>
      <c r="V211" s="5"/>
      <c r="W211" s="45"/>
      <c r="X211" s="2"/>
    </row>
    <row r="212" spans="1:24" ht="51" x14ac:dyDescent="0.25">
      <c r="A212" s="44" t="str">
        <f t="shared" si="19"/>
        <v>...E.03. - Poisonings (non-drug)</v>
      </c>
      <c r="B212" s="2">
        <v>200</v>
      </c>
      <c r="C212" s="31" t="s">
        <v>1381</v>
      </c>
      <c r="D212" s="6" t="s">
        <v>1141</v>
      </c>
      <c r="E212" s="26" t="s">
        <v>1144</v>
      </c>
      <c r="F212" s="88"/>
      <c r="G212" s="40" t="str">
        <f t="shared" si="21"/>
        <v>cE03</v>
      </c>
      <c r="H212" s="40" t="str">
        <f t="shared" si="22"/>
        <v>E03</v>
      </c>
      <c r="I212" s="5"/>
      <c r="J212" s="5" t="s">
        <v>1397</v>
      </c>
      <c r="K212" s="79" t="s">
        <v>1399</v>
      </c>
      <c r="L212" s="81" t="s">
        <v>1400</v>
      </c>
      <c r="M212" s="49"/>
      <c r="N212" s="49"/>
      <c r="O212" s="59" t="s">
        <v>1116</v>
      </c>
      <c r="P212" s="64" t="s">
        <v>1117</v>
      </c>
      <c r="Q212" s="65"/>
      <c r="R212" s="83" t="s">
        <v>657</v>
      </c>
      <c r="S212" s="83" t="s">
        <v>1006</v>
      </c>
      <c r="T212" s="5" t="s">
        <v>1396</v>
      </c>
      <c r="U212" s="20" t="s">
        <v>135</v>
      </c>
      <c r="V212" s="5" t="s">
        <v>311</v>
      </c>
      <c r="W212" s="45" t="s">
        <v>135</v>
      </c>
      <c r="X212" s="2"/>
    </row>
    <row r="213" spans="1:24" x14ac:dyDescent="0.25">
      <c r="A213" s="44" t="str">
        <f t="shared" si="19"/>
        <v>...E.04. - Falls</v>
      </c>
      <c r="B213" s="2">
        <v>201</v>
      </c>
      <c r="C213" s="31" t="s">
        <v>136</v>
      </c>
      <c r="D213" s="6" t="s">
        <v>1141</v>
      </c>
      <c r="E213" s="26" t="s">
        <v>1145</v>
      </c>
      <c r="F213" s="88"/>
      <c r="G213" s="40" t="str">
        <f t="shared" si="21"/>
        <v>cE04</v>
      </c>
      <c r="H213" s="40" t="str">
        <f>CONCATENATE(D213,E213,F213)</f>
        <v>E04</v>
      </c>
      <c r="I213" s="5" t="s">
        <v>952</v>
      </c>
      <c r="J213" s="5"/>
      <c r="K213" s="5" t="s">
        <v>501</v>
      </c>
      <c r="L213" s="49" t="s">
        <v>870</v>
      </c>
      <c r="M213" s="49"/>
      <c r="N213" s="49"/>
      <c r="O213" s="59" t="s">
        <v>501</v>
      </c>
      <c r="P213" s="64" t="s">
        <v>870</v>
      </c>
      <c r="Q213" s="65"/>
      <c r="R213" s="83" t="s">
        <v>658</v>
      </c>
      <c r="S213" s="83" t="s">
        <v>1005</v>
      </c>
      <c r="T213" s="5" t="s">
        <v>312</v>
      </c>
      <c r="U213" s="20" t="s">
        <v>136</v>
      </c>
      <c r="V213" s="5" t="s">
        <v>312</v>
      </c>
      <c r="W213" s="45" t="s">
        <v>136</v>
      </c>
      <c r="X213" s="2"/>
    </row>
    <row r="214" spans="1:24" x14ac:dyDescent="0.25">
      <c r="A214" s="44" t="str">
        <f t="shared" si="19"/>
        <v/>
      </c>
      <c r="B214" s="2">
        <v>202</v>
      </c>
      <c r="C214" s="31" t="s">
        <v>137</v>
      </c>
      <c r="D214" s="6" t="s">
        <v>1141</v>
      </c>
      <c r="E214" s="26" t="s">
        <v>1146</v>
      </c>
      <c r="F214" s="6"/>
      <c r="G214" s="40" t="str">
        <f t="shared" si="21"/>
        <v>cE05</v>
      </c>
      <c r="H214" s="40"/>
      <c r="K214" s="5" t="s">
        <v>502</v>
      </c>
      <c r="L214" s="49" t="s">
        <v>871</v>
      </c>
      <c r="M214" s="49"/>
      <c r="N214" s="49"/>
      <c r="O214" s="59" t="s">
        <v>502</v>
      </c>
      <c r="P214" s="64" t="s">
        <v>871</v>
      </c>
      <c r="Q214" s="65"/>
      <c r="R214" s="83" t="s">
        <v>659</v>
      </c>
      <c r="S214" s="83" t="s">
        <v>1001</v>
      </c>
      <c r="T214" s="5" t="s">
        <v>313</v>
      </c>
      <c r="U214" s="20" t="s">
        <v>137</v>
      </c>
      <c r="V214" s="5" t="s">
        <v>313</v>
      </c>
      <c r="W214" s="45" t="s">
        <v>137</v>
      </c>
      <c r="X214" s="2"/>
    </row>
    <row r="215" spans="1:24" x14ac:dyDescent="0.25">
      <c r="A215" s="44" t="str">
        <f t="shared" si="19"/>
        <v/>
      </c>
      <c r="B215" s="2">
        <v>203</v>
      </c>
      <c r="C215" s="31" t="s">
        <v>745</v>
      </c>
      <c r="D215" s="6" t="s">
        <v>1141</v>
      </c>
      <c r="E215" s="26" t="s">
        <v>1146</v>
      </c>
      <c r="F215" s="6"/>
      <c r="G215" s="40" t="str">
        <f t="shared" si="21"/>
        <v>cE05</v>
      </c>
      <c r="H215" s="40"/>
      <c r="I215" s="5"/>
      <c r="J215" s="5"/>
      <c r="K215" s="5" t="s">
        <v>503</v>
      </c>
      <c r="L215" s="49" t="s">
        <v>872</v>
      </c>
      <c r="M215" s="49"/>
      <c r="N215" s="49"/>
      <c r="O215" s="59" t="s">
        <v>503</v>
      </c>
      <c r="P215" s="64" t="s">
        <v>872</v>
      </c>
      <c r="Q215" s="65"/>
      <c r="R215" s="83" t="s">
        <v>660</v>
      </c>
      <c r="S215" s="83" t="s">
        <v>1000</v>
      </c>
      <c r="T215" s="5" t="s">
        <v>314</v>
      </c>
      <c r="U215" s="20" t="s">
        <v>138</v>
      </c>
      <c r="V215" s="5" t="s">
        <v>314</v>
      </c>
      <c r="W215" s="45" t="s">
        <v>138</v>
      </c>
      <c r="X215" s="2"/>
    </row>
    <row r="216" spans="1:24" ht="38.25" x14ac:dyDescent="0.25">
      <c r="A216" s="44" t="str">
        <f t="shared" si="19"/>
        <v/>
      </c>
      <c r="B216" s="2">
        <v>204</v>
      </c>
      <c r="C216" s="31" t="s">
        <v>746</v>
      </c>
      <c r="D216" s="6" t="s">
        <v>1141</v>
      </c>
      <c r="E216" s="26" t="s">
        <v>1146</v>
      </c>
      <c r="F216" s="6"/>
      <c r="G216" s="40" t="str">
        <f t="shared" si="21"/>
        <v>cE05</v>
      </c>
      <c r="H216" s="40"/>
      <c r="I216" s="5"/>
      <c r="J216" s="5"/>
      <c r="K216" s="5" t="s">
        <v>1376</v>
      </c>
      <c r="L216" s="49" t="s">
        <v>1378</v>
      </c>
      <c r="M216" s="49"/>
      <c r="N216" s="49"/>
      <c r="O216" s="59" t="s">
        <v>995</v>
      </c>
      <c r="P216" s="64" t="s">
        <v>997</v>
      </c>
      <c r="Q216" s="64"/>
      <c r="R216" s="83" t="s">
        <v>661</v>
      </c>
      <c r="S216" s="83" t="s">
        <v>1002</v>
      </c>
      <c r="T216" s="5" t="s">
        <v>885</v>
      </c>
      <c r="U216" s="20" t="s">
        <v>746</v>
      </c>
      <c r="V216" s="5" t="s">
        <v>885</v>
      </c>
      <c r="W216" s="45" t="s">
        <v>746</v>
      </c>
      <c r="X216" s="2"/>
    </row>
    <row r="217" spans="1:24" ht="25.5" x14ac:dyDescent="0.25">
      <c r="A217" s="44" t="str">
        <f t="shared" si="19"/>
        <v>...E.05. - Accidental Firearm</v>
      </c>
      <c r="B217" s="2"/>
      <c r="C217" s="31" t="s">
        <v>1377</v>
      </c>
      <c r="D217" s="6" t="s">
        <v>1141</v>
      </c>
      <c r="E217" s="26" t="s">
        <v>1146</v>
      </c>
      <c r="F217" s="6"/>
      <c r="G217" s="40" t="str">
        <f t="shared" si="21"/>
        <v>cE05</v>
      </c>
      <c r="H217" s="40" t="s">
        <v>952</v>
      </c>
      <c r="I217" s="5" t="s">
        <v>1375</v>
      </c>
      <c r="J217" s="5" t="s">
        <v>1211</v>
      </c>
      <c r="K217" s="5" t="s">
        <v>1372</v>
      </c>
      <c r="L217" s="49" t="s">
        <v>1373</v>
      </c>
      <c r="M217" s="49"/>
      <c r="N217" s="49"/>
      <c r="O217" s="59"/>
      <c r="P217" s="64"/>
      <c r="Q217" s="64"/>
      <c r="R217" s="83"/>
      <c r="S217" s="83"/>
      <c r="T217" s="5" t="s">
        <v>1374</v>
      </c>
      <c r="U217" s="20"/>
      <c r="V217" s="5"/>
      <c r="W217" s="45"/>
      <c r="X217" s="2"/>
    </row>
    <row r="218" spans="1:24" x14ac:dyDescent="0.25">
      <c r="A218" s="44" t="str">
        <f t="shared" si="19"/>
        <v/>
      </c>
      <c r="B218" s="2">
        <v>205</v>
      </c>
      <c r="C218" s="31" t="s">
        <v>747</v>
      </c>
      <c r="D218" s="6" t="s">
        <v>1141</v>
      </c>
      <c r="E218" s="26" t="s">
        <v>1146</v>
      </c>
      <c r="F218" s="6"/>
      <c r="G218" s="40" t="str">
        <f t="shared" si="21"/>
        <v>cE05</v>
      </c>
      <c r="H218" s="40"/>
      <c r="I218" s="5" t="s">
        <v>1235</v>
      </c>
      <c r="J218" s="5" t="s">
        <v>1159</v>
      </c>
      <c r="K218" s="5" t="s">
        <v>1195</v>
      </c>
      <c r="L218" s="49" t="s">
        <v>1196</v>
      </c>
      <c r="M218" s="49"/>
      <c r="N218" s="49"/>
      <c r="O218" s="59" t="s">
        <v>504</v>
      </c>
      <c r="P218" s="64" t="s">
        <v>873</v>
      </c>
      <c r="Q218" s="65"/>
      <c r="R218" s="83"/>
      <c r="S218" s="83"/>
      <c r="T218" s="5" t="s">
        <v>886</v>
      </c>
      <c r="U218" s="20" t="s">
        <v>747</v>
      </c>
      <c r="V218" s="5" t="s">
        <v>886</v>
      </c>
      <c r="W218" s="45" t="s">
        <v>747</v>
      </c>
      <c r="X218" s="2"/>
    </row>
    <row r="219" spans="1:24" ht="33" x14ac:dyDescent="0.25">
      <c r="A219" s="44" t="str">
        <f t="shared" si="19"/>
        <v>...E.05. - Other unintentional injuries</v>
      </c>
      <c r="B219" s="2">
        <v>206</v>
      </c>
      <c r="C219" s="31" t="s">
        <v>748</v>
      </c>
      <c r="D219" s="6" t="s">
        <v>1141</v>
      </c>
      <c r="E219" s="26" t="s">
        <v>1146</v>
      </c>
      <c r="F219" s="6"/>
      <c r="G219" s="40" t="str">
        <f t="shared" si="21"/>
        <v>cE05</v>
      </c>
      <c r="H219" s="40" t="str">
        <f>CONCATENATE(D219,E219,F219)</f>
        <v>E05</v>
      </c>
      <c r="I219" s="5" t="s">
        <v>1392</v>
      </c>
      <c r="J219" s="5" t="s">
        <v>1253</v>
      </c>
      <c r="K219" s="5" t="s">
        <v>1254</v>
      </c>
      <c r="L219" s="49" t="s">
        <v>1255</v>
      </c>
      <c r="M219" s="49"/>
      <c r="N219" s="49"/>
      <c r="O219" s="59" t="s">
        <v>996</v>
      </c>
      <c r="P219" s="64" t="s">
        <v>1113</v>
      </c>
      <c r="Q219" s="64"/>
      <c r="R219" s="83" t="s">
        <v>662</v>
      </c>
      <c r="S219" s="83" t="s">
        <v>1003</v>
      </c>
      <c r="T219" s="5" t="s">
        <v>315</v>
      </c>
      <c r="U219" s="20" t="s">
        <v>887</v>
      </c>
      <c r="V219" s="5" t="s">
        <v>315</v>
      </c>
      <c r="W219" s="45" t="s">
        <v>887</v>
      </c>
      <c r="X219" s="22" t="s">
        <v>1276</v>
      </c>
    </row>
    <row r="220" spans="1:24" ht="16.5" x14ac:dyDescent="0.25">
      <c r="A220" s="44" t="str">
        <f t="shared" si="19"/>
        <v/>
      </c>
      <c r="B220" s="2">
        <v>207</v>
      </c>
      <c r="C220" s="35" t="s">
        <v>139</v>
      </c>
      <c r="D220" s="6"/>
      <c r="E220" s="26"/>
      <c r="F220" s="6"/>
      <c r="G220" s="40"/>
      <c r="H220" s="40"/>
      <c r="I220" s="5"/>
      <c r="J220" s="5"/>
      <c r="K220" s="5" t="s">
        <v>952</v>
      </c>
      <c r="L220" s="19" t="s">
        <v>952</v>
      </c>
      <c r="M220" s="19"/>
      <c r="N220" s="19"/>
      <c r="O220" s="59" t="s">
        <v>505</v>
      </c>
      <c r="P220" s="62" t="s">
        <v>874</v>
      </c>
      <c r="Q220" s="63"/>
      <c r="R220" s="83" t="s">
        <v>664</v>
      </c>
      <c r="S220" s="83" t="s">
        <v>663</v>
      </c>
      <c r="T220" s="2" t="s">
        <v>316</v>
      </c>
      <c r="U220" s="20" t="s">
        <v>139</v>
      </c>
      <c r="V220" s="2" t="s">
        <v>316</v>
      </c>
      <c r="W220" s="45" t="s">
        <v>139</v>
      </c>
      <c r="X220" s="2"/>
    </row>
    <row r="221" spans="1:24" ht="25.5" x14ac:dyDescent="0.25">
      <c r="A221" s="44" t="str">
        <f t="shared" si="19"/>
        <v>...E.07. - Suicide/Self-harm</v>
      </c>
      <c r="B221" s="2">
        <v>208</v>
      </c>
      <c r="C221" s="31" t="s">
        <v>140</v>
      </c>
      <c r="D221" s="6" t="s">
        <v>1141</v>
      </c>
      <c r="E221" s="26" t="s">
        <v>1148</v>
      </c>
      <c r="F221" s="6"/>
      <c r="G221" s="40" t="str">
        <f t="shared" ref="G221:G228" si="23">CONCATENATE("c",D221,E221,F221)</f>
        <v>cE07</v>
      </c>
      <c r="H221" s="40" t="str">
        <f>CONCATENATE(D221,E221,F221)</f>
        <v>E07</v>
      </c>
      <c r="I221" s="5" t="s">
        <v>1302</v>
      </c>
      <c r="J221" s="5" t="s">
        <v>1211</v>
      </c>
      <c r="K221" s="5" t="s">
        <v>1212</v>
      </c>
      <c r="L221" s="49" t="s">
        <v>1213</v>
      </c>
      <c r="M221" s="49"/>
      <c r="N221" s="49"/>
      <c r="O221" s="59" t="s">
        <v>506</v>
      </c>
      <c r="P221" s="64" t="s">
        <v>875</v>
      </c>
      <c r="Q221" s="65"/>
      <c r="R221" s="83" t="s">
        <v>665</v>
      </c>
      <c r="S221" s="83" t="s">
        <v>999</v>
      </c>
      <c r="T221" s="5" t="s">
        <v>1273</v>
      </c>
      <c r="U221" s="20" t="s">
        <v>140</v>
      </c>
      <c r="V221" s="5" t="s">
        <v>317</v>
      </c>
      <c r="W221" s="45" t="s">
        <v>140</v>
      </c>
      <c r="X221" s="2"/>
    </row>
    <row r="222" spans="1:24" ht="25.5" x14ac:dyDescent="0.25">
      <c r="A222" s="44" t="str">
        <f t="shared" si="19"/>
        <v>...E.08. - Homicide/Interpersonal violence</v>
      </c>
      <c r="B222" s="2">
        <v>209</v>
      </c>
      <c r="C222" s="31" t="s">
        <v>141</v>
      </c>
      <c r="D222" s="6" t="s">
        <v>1141</v>
      </c>
      <c r="E222" s="26" t="s">
        <v>1149</v>
      </c>
      <c r="F222" s="6"/>
      <c r="G222" s="40" t="s">
        <v>952</v>
      </c>
      <c r="H222" s="40" t="str">
        <f>CONCATENATE(D222,E222,F222)</f>
        <v>E08</v>
      </c>
      <c r="I222" s="5"/>
      <c r="J222" s="5" t="s">
        <v>1211</v>
      </c>
      <c r="M222" s="19"/>
      <c r="N222" s="19"/>
      <c r="O222" s="59" t="s">
        <v>507</v>
      </c>
      <c r="P222" s="64" t="s">
        <v>876</v>
      </c>
      <c r="Q222" s="65"/>
      <c r="R222" s="83" t="s">
        <v>666</v>
      </c>
      <c r="S222" s="83" t="s">
        <v>998</v>
      </c>
      <c r="T222" s="5" t="s">
        <v>1272</v>
      </c>
      <c r="U222" s="20" t="s">
        <v>141</v>
      </c>
      <c r="V222" s="5" t="s">
        <v>318</v>
      </c>
      <c r="W222" s="45" t="s">
        <v>141</v>
      </c>
      <c r="X222" s="2"/>
    </row>
    <row r="223" spans="1:24" x14ac:dyDescent="0.25">
      <c r="A223" s="44" t="str">
        <f t="shared" si="19"/>
        <v>....E.08.a. - Homicide excluding legal intervention</v>
      </c>
      <c r="B223" s="2"/>
      <c r="C223" s="31"/>
      <c r="D223" s="6" t="s">
        <v>1141</v>
      </c>
      <c r="E223" s="26" t="s">
        <v>1149</v>
      </c>
      <c r="F223" s="6" t="s">
        <v>1126</v>
      </c>
      <c r="G223" s="40" t="str">
        <f t="shared" si="23"/>
        <v>cE08a</v>
      </c>
      <c r="H223" s="40" t="str">
        <f t="shared" ref="H223:H225" si="24">CONCATENATE(D223,E223,F223)</f>
        <v>E08a</v>
      </c>
      <c r="I223" s="5" t="s">
        <v>1389</v>
      </c>
      <c r="J223" s="5"/>
      <c r="K223" s="5" t="s">
        <v>1367</v>
      </c>
      <c r="L223" s="19" t="s">
        <v>1370</v>
      </c>
      <c r="M223" s="19"/>
      <c r="N223" s="19"/>
      <c r="O223" s="59"/>
      <c r="P223" s="64"/>
      <c r="Q223" s="65"/>
      <c r="R223" s="83"/>
      <c r="S223" s="83"/>
      <c r="T223" s="20" t="s">
        <v>1365</v>
      </c>
      <c r="U223" s="46"/>
      <c r="V223" s="5"/>
      <c r="W223" s="45"/>
      <c r="X223" s="2"/>
    </row>
    <row r="224" spans="1:24" ht="43.5" customHeight="1" x14ac:dyDescent="0.25">
      <c r="A224" s="44" t="str">
        <f t="shared" si="19"/>
        <v>....E.08.b. - Legal intervention</v>
      </c>
      <c r="B224" s="2"/>
      <c r="C224" s="31"/>
      <c r="D224" s="6" t="s">
        <v>1141</v>
      </c>
      <c r="E224" s="26" t="s">
        <v>1149</v>
      </c>
      <c r="F224" s="6" t="s">
        <v>1127</v>
      </c>
      <c r="G224" s="40" t="str">
        <f t="shared" si="23"/>
        <v>cE08b</v>
      </c>
      <c r="H224" s="40" t="str">
        <f t="shared" si="24"/>
        <v>E08b</v>
      </c>
      <c r="I224" s="5" t="s">
        <v>1390</v>
      </c>
      <c r="J224" s="5" t="s">
        <v>1211</v>
      </c>
      <c r="K224" s="5" t="s">
        <v>1366</v>
      </c>
      <c r="L224" s="19" t="s">
        <v>1371</v>
      </c>
      <c r="M224" s="19"/>
      <c r="N224" s="19"/>
      <c r="O224" s="59"/>
      <c r="P224" s="64"/>
      <c r="Q224" s="65"/>
      <c r="R224" s="83"/>
      <c r="S224" s="83"/>
      <c r="T224" s="20" t="s">
        <v>1364</v>
      </c>
      <c r="U224" s="46"/>
      <c r="V224" s="5"/>
      <c r="W224" s="45"/>
      <c r="X224" s="2"/>
    </row>
    <row r="225" spans="1:24" ht="63.75" x14ac:dyDescent="0.25">
      <c r="A225" s="44" t="str">
        <f t="shared" si="19"/>
        <v>....E.08.c. - Execution, War, Terrorism</v>
      </c>
      <c r="B225" s="2">
        <v>210</v>
      </c>
      <c r="C225" s="31" t="s">
        <v>142</v>
      </c>
      <c r="D225" s="6" t="s">
        <v>1141</v>
      </c>
      <c r="E225" s="26" t="s">
        <v>1149</v>
      </c>
      <c r="F225" s="6" t="s">
        <v>1129</v>
      </c>
      <c r="G225" s="40" t="str">
        <f t="shared" si="23"/>
        <v>cE08c</v>
      </c>
      <c r="H225" s="40" t="str">
        <f t="shared" si="24"/>
        <v>E08c</v>
      </c>
      <c r="I225" s="5" t="s">
        <v>1391</v>
      </c>
      <c r="J225" s="5" t="s">
        <v>1236</v>
      </c>
      <c r="K225" s="5" t="s">
        <v>1368</v>
      </c>
      <c r="L225" s="49" t="s">
        <v>1369</v>
      </c>
      <c r="M225" s="49"/>
      <c r="N225" s="49"/>
      <c r="O225" s="59" t="s">
        <v>508</v>
      </c>
      <c r="P225" s="64" t="s">
        <v>877</v>
      </c>
      <c r="Q225" s="65"/>
      <c r="R225" s="83"/>
      <c r="S225" s="83"/>
      <c r="T225" s="5" t="s">
        <v>1411</v>
      </c>
      <c r="U225" s="20" t="s">
        <v>142</v>
      </c>
      <c r="V225" s="5" t="s">
        <v>319</v>
      </c>
      <c r="W225" s="45" t="s">
        <v>142</v>
      </c>
      <c r="X225" s="22" t="s">
        <v>1237</v>
      </c>
    </row>
    <row r="226" spans="1:24" ht="38.25" x14ac:dyDescent="0.25">
      <c r="A226" s="44" t="str">
        <f t="shared" si="19"/>
        <v/>
      </c>
      <c r="B226" s="77" t="s">
        <v>1394</v>
      </c>
      <c r="C226" s="16" t="s">
        <v>1275</v>
      </c>
      <c r="D226" s="54" t="s">
        <v>1141</v>
      </c>
      <c r="E226" s="55" t="s">
        <v>1224</v>
      </c>
      <c r="G226" s="40" t="str">
        <f t="shared" si="23"/>
        <v>cE99</v>
      </c>
      <c r="H226" s="40"/>
      <c r="I226" s="48" t="s">
        <v>1252</v>
      </c>
      <c r="J226" s="48" t="s">
        <v>1268</v>
      </c>
      <c r="K226" s="16" t="s">
        <v>1269</v>
      </c>
      <c r="L226" s="16" t="s">
        <v>1270</v>
      </c>
      <c r="T226" s="48" t="s">
        <v>1218</v>
      </c>
    </row>
    <row r="227" spans="1:24" ht="25.5" x14ac:dyDescent="0.25">
      <c r="A227" s="44" t="str">
        <f t="shared" si="19"/>
        <v>...Z.01. - Symptoms, signs and ill-defined conditions, not elsewhere classified</v>
      </c>
      <c r="D227" s="56" t="s">
        <v>1240</v>
      </c>
      <c r="E227" s="55" t="s">
        <v>1142</v>
      </c>
      <c r="G227" s="40" t="str">
        <f t="shared" si="23"/>
        <v>cZ01</v>
      </c>
      <c r="H227" s="40" t="str">
        <f>CONCATENATE(D227,E227,F227)</f>
        <v>Z01</v>
      </c>
      <c r="I227" s="48" t="s">
        <v>1220</v>
      </c>
      <c r="J227" s="48" t="s">
        <v>1221</v>
      </c>
      <c r="K227" s="16" t="s">
        <v>1222</v>
      </c>
      <c r="L227" s="16" t="s">
        <v>1251</v>
      </c>
      <c r="T227" s="48" t="s">
        <v>1223</v>
      </c>
    </row>
    <row r="228" spans="1:24" ht="25.5" x14ac:dyDescent="0.25">
      <c r="A228" s="44" t="str">
        <f t="shared" si="19"/>
        <v/>
      </c>
      <c r="D228" s="56" t="s">
        <v>1136</v>
      </c>
      <c r="E228" s="55" t="s">
        <v>1150</v>
      </c>
      <c r="G228" s="42" t="str">
        <f t="shared" si="23"/>
        <v>cA09</v>
      </c>
      <c r="H228" s="40"/>
      <c r="I228" s="16" t="s">
        <v>1326</v>
      </c>
      <c r="J228" s="48" t="s">
        <v>1221</v>
      </c>
      <c r="K228" s="16" t="s">
        <v>1215</v>
      </c>
      <c r="L228" s="16" t="s">
        <v>1215</v>
      </c>
      <c r="T228" s="48" t="s">
        <v>1214</v>
      </c>
    </row>
    <row r="229" spans="1:24" x14ac:dyDescent="0.25">
      <c r="A229" s="44" t="str">
        <f t="shared" si="19"/>
        <v>...Z.02. - Unknown/Missing Value</v>
      </c>
      <c r="D229" s="56" t="s">
        <v>1240</v>
      </c>
      <c r="E229" s="55" t="s">
        <v>1143</v>
      </c>
      <c r="G229" s="43"/>
      <c r="H229" s="40" t="str">
        <f t="shared" ref="H229:H232" si="25">CONCATENATE(D229,E229,F229)</f>
        <v>Z02</v>
      </c>
      <c r="T229" s="48" t="s">
        <v>1310</v>
      </c>
    </row>
    <row r="230" spans="1:24" x14ac:dyDescent="0.25">
      <c r="A230" s="44" t="str">
        <f t="shared" si="19"/>
        <v>...Z.03. - Code does not map</v>
      </c>
      <c r="D230" s="56" t="s">
        <v>1240</v>
      </c>
      <c r="E230" s="55" t="s">
        <v>1144</v>
      </c>
      <c r="G230" s="43"/>
      <c r="H230" s="40" t="str">
        <f t="shared" si="25"/>
        <v>Z03</v>
      </c>
      <c r="I230" s="16" t="s">
        <v>1256</v>
      </c>
      <c r="T230" s="48" t="s">
        <v>1241</v>
      </c>
    </row>
    <row r="231" spans="1:24" x14ac:dyDescent="0.25">
      <c r="A231" s="44" t="str">
        <f t="shared" si="19"/>
        <v>..Z. - Unknown/Missing Value</v>
      </c>
      <c r="D231" s="56" t="s">
        <v>1240</v>
      </c>
      <c r="G231" s="43"/>
      <c r="H231" s="40" t="str">
        <f t="shared" si="25"/>
        <v>Z</v>
      </c>
      <c r="T231" s="48" t="s">
        <v>1310</v>
      </c>
    </row>
    <row r="232" spans="1:24" x14ac:dyDescent="0.25">
      <c r="A232" s="44" t="str">
        <f t="shared" si="19"/>
        <v>...D.99. - Other Chronic Conditions</v>
      </c>
      <c r="D232" s="56" t="s">
        <v>1140</v>
      </c>
      <c r="E232" s="55" t="s">
        <v>1224</v>
      </c>
      <c r="G232" s="43"/>
      <c r="H232" s="40" t="str">
        <f t="shared" si="25"/>
        <v>D99</v>
      </c>
      <c r="T232" s="48" t="s">
        <v>1271</v>
      </c>
    </row>
  </sheetData>
  <autoFilter ref="A1:X225"/>
  <pageMargins left="0.7" right="0.7" top="0.75" bottom="0.75" header="0.3" footer="0.3"/>
  <pageSetup orientation="landscape"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C3" sqref="C3"/>
    </sheetView>
  </sheetViews>
  <sheetFormatPr defaultColWidth="8.85546875" defaultRowHeight="15.75" x14ac:dyDescent="0.25"/>
  <cols>
    <col min="1" max="1" width="26.7109375" style="9" customWidth="1"/>
    <col min="2" max="2" width="65.140625" style="10" customWidth="1"/>
    <col min="3" max="3" width="64.42578125" style="10" customWidth="1"/>
    <col min="4" max="4" width="58.28515625" style="10" bestFit="1" customWidth="1"/>
    <col min="5" max="16384" width="8.85546875" style="9"/>
  </cols>
  <sheetData>
    <row r="1" spans="1:4" x14ac:dyDescent="0.25">
      <c r="A1" s="7" t="s">
        <v>935</v>
      </c>
      <c r="B1" s="8" t="s">
        <v>936</v>
      </c>
      <c r="C1" s="8" t="s">
        <v>937</v>
      </c>
      <c r="D1" s="8" t="s">
        <v>930</v>
      </c>
    </row>
    <row r="2" spans="1:4" ht="30" customHeight="1" x14ac:dyDescent="0.25">
      <c r="A2" s="11" t="s">
        <v>761</v>
      </c>
      <c r="B2" s="12" t="s">
        <v>942</v>
      </c>
      <c r="C2" s="12"/>
      <c r="D2" s="12"/>
    </row>
    <row r="3" spans="1:4" ht="30" customHeight="1" x14ac:dyDescent="0.25">
      <c r="A3" s="11" t="s">
        <v>763</v>
      </c>
      <c r="B3" s="12" t="s">
        <v>939</v>
      </c>
      <c r="C3" s="15" t="s">
        <v>931</v>
      </c>
      <c r="D3" s="12"/>
    </row>
    <row r="4" spans="1:4" ht="30" customHeight="1" x14ac:dyDescent="0.25">
      <c r="A4" s="13" t="s">
        <v>749</v>
      </c>
      <c r="B4" s="12" t="s">
        <v>938</v>
      </c>
      <c r="C4" s="12"/>
      <c r="D4" s="12"/>
    </row>
    <row r="5" spans="1:4" ht="30" customHeight="1" x14ac:dyDescent="0.25">
      <c r="A5" s="13" t="s">
        <v>750</v>
      </c>
      <c r="B5" s="12" t="s">
        <v>938</v>
      </c>
      <c r="C5" s="12"/>
      <c r="D5" s="12"/>
    </row>
    <row r="6" spans="1:4" ht="30" customHeight="1" x14ac:dyDescent="0.25">
      <c r="A6" s="13" t="s">
        <v>751</v>
      </c>
      <c r="B6" s="12" t="s">
        <v>938</v>
      </c>
      <c r="C6" s="12"/>
      <c r="D6" s="12"/>
    </row>
    <row r="7" spans="1:4" ht="30" customHeight="1" x14ac:dyDescent="0.25">
      <c r="A7" s="13" t="s">
        <v>752</v>
      </c>
      <c r="B7" s="12" t="s">
        <v>938</v>
      </c>
      <c r="C7" s="12"/>
      <c r="D7" s="12"/>
    </row>
    <row r="8" spans="1:4" ht="30" customHeight="1" x14ac:dyDescent="0.25">
      <c r="A8" s="13" t="s">
        <v>753</v>
      </c>
      <c r="B8" s="12" t="s">
        <v>938</v>
      </c>
      <c r="C8" s="12"/>
      <c r="D8" s="12"/>
    </row>
    <row r="9" spans="1:4" ht="30" customHeight="1" x14ac:dyDescent="0.25">
      <c r="A9" s="13" t="s">
        <v>754</v>
      </c>
      <c r="B9" s="12" t="s">
        <v>938</v>
      </c>
      <c r="C9" s="12"/>
      <c r="D9" s="12"/>
    </row>
    <row r="10" spans="1:4" ht="30" customHeight="1" x14ac:dyDescent="0.25">
      <c r="A10" s="13" t="s">
        <v>755</v>
      </c>
      <c r="B10" s="12" t="s">
        <v>938</v>
      </c>
      <c r="C10" s="12"/>
      <c r="D10" s="12"/>
    </row>
    <row r="11" spans="1:4" ht="30" customHeight="1" x14ac:dyDescent="0.25">
      <c r="A11" s="13" t="s">
        <v>756</v>
      </c>
      <c r="B11" s="12" t="s">
        <v>938</v>
      </c>
      <c r="C11" s="12"/>
      <c r="D11" s="12"/>
    </row>
    <row r="12" spans="1:4" ht="30" customHeight="1" x14ac:dyDescent="0.25">
      <c r="A12" s="13" t="s">
        <v>764</v>
      </c>
      <c r="B12" s="12" t="s">
        <v>932</v>
      </c>
      <c r="C12" s="12" t="s">
        <v>933</v>
      </c>
      <c r="D12" s="12"/>
    </row>
    <row r="13" spans="1:4" ht="30" customHeight="1" x14ac:dyDescent="0.25">
      <c r="A13" s="14" t="s">
        <v>384</v>
      </c>
      <c r="B13" s="12" t="s">
        <v>934</v>
      </c>
      <c r="C13" s="12"/>
      <c r="D13" s="12"/>
    </row>
    <row r="14" spans="1:4" ht="30" customHeight="1" x14ac:dyDescent="0.25">
      <c r="A14" s="14" t="s">
        <v>759</v>
      </c>
      <c r="B14" s="12" t="s">
        <v>943</v>
      </c>
      <c r="C14" s="12" t="s">
        <v>945</v>
      </c>
      <c r="D14" s="12"/>
    </row>
    <row r="15" spans="1:4" ht="30" customHeight="1" x14ac:dyDescent="0.25">
      <c r="A15" s="11" t="s">
        <v>509</v>
      </c>
      <c r="B15" s="12" t="s">
        <v>940</v>
      </c>
      <c r="C15" s="12" t="s">
        <v>941</v>
      </c>
      <c r="D15" s="12"/>
    </row>
    <row r="16" spans="1:4" ht="30" customHeight="1" x14ac:dyDescent="0.25">
      <c r="A16" s="14" t="s">
        <v>760</v>
      </c>
      <c r="B16" s="12" t="s">
        <v>944</v>
      </c>
      <c r="C16" s="12" t="s">
        <v>946</v>
      </c>
      <c r="D16" s="12" t="s">
        <v>881</v>
      </c>
    </row>
    <row r="17" ht="30" customHeight="1" x14ac:dyDescent="0.25"/>
  </sheetData>
  <hyperlinks>
    <hyperlink ref="C3" r:id="rId1"/>
  </hyperlink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1:E12"/>
  <sheetViews>
    <sheetView workbookViewId="0">
      <selection activeCell="C11" sqref="C11"/>
    </sheetView>
  </sheetViews>
  <sheetFormatPr defaultRowHeight="15" x14ac:dyDescent="0.25"/>
  <cols>
    <col min="3" max="3" width="57.140625" customWidth="1"/>
    <col min="4" max="4" width="54.42578125" customWidth="1"/>
    <col min="5" max="5" width="66.140625" customWidth="1"/>
  </cols>
  <sheetData>
    <row r="11" spans="3:5" ht="15.75" thickBot="1" x14ac:dyDescent="0.3">
      <c r="C11" s="70" t="s">
        <v>1315</v>
      </c>
      <c r="D11" s="71" t="s">
        <v>1314</v>
      </c>
      <c r="E11" s="71" t="s">
        <v>1314</v>
      </c>
    </row>
    <row r="12" spans="3:5" ht="135.75" thickBot="1" x14ac:dyDescent="0.3">
      <c r="C12" s="72" t="s">
        <v>1316</v>
      </c>
      <c r="D12" s="73" t="s">
        <v>1317</v>
      </c>
      <c r="E12" s="73" t="s">
        <v>1318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metaData</vt:lpstr>
      <vt:lpstr>Sheet1</vt:lpstr>
    </vt:vector>
  </TitlesOfParts>
  <Company>DHCS and CDPH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Fujino, Danielle (CDPH-DIR)</dc:creator>
  <cp:lastModifiedBy>SamFam</cp:lastModifiedBy>
  <cp:lastPrinted>2018-10-08T16:53:21Z</cp:lastPrinted>
  <dcterms:created xsi:type="dcterms:W3CDTF">2017-07-11T22:14:58Z</dcterms:created>
  <dcterms:modified xsi:type="dcterms:W3CDTF">2020-01-24T06:09:21Z</dcterms:modified>
</cp:coreProperties>
</file>